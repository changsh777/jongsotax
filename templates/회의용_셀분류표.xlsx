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셀분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회의용 셀 분류표 - 사용 가이드</t>
        </is>
      </c>
    </row>
    <row r="2">
      <c r="A2" t="inlineStr"/>
    </row>
    <row r="3">
      <c r="A3" t="inlineStr">
        <is>
          <t>[목적]</t>
        </is>
      </c>
    </row>
    <row r="4">
      <c r="A4" t="inlineStr">
        <is>
          <t>양식의 노란색 입력셀(N=총 N개) 하나하나에 대해</t>
        </is>
      </c>
    </row>
    <row r="5">
      <c r="A5" t="inlineStr">
        <is>
          <t>1) 봇이 자동 채울지 (분류 A)</t>
        </is>
      </c>
    </row>
    <row r="6">
      <c r="A6" t="inlineStr">
        <is>
          <t>2) 직원이 매입자료 보고 직접 채울지 (분류 B)</t>
        </is>
      </c>
    </row>
    <row r="7">
      <c r="A7" t="inlineStr">
        <is>
          <t>결정한 다음 자동화 매핑을 확정합니다.</t>
        </is>
      </c>
    </row>
    <row r="8">
      <c r="A8" t="inlineStr"/>
    </row>
    <row r="9">
      <c r="A9" t="inlineStr">
        <is>
          <t>[분류 기준]</t>
        </is>
      </c>
    </row>
    <row r="10">
      <c r="A10" t="inlineStr">
        <is>
          <t>A (자동): 안내문 PDF·전년도 종소세 엑셀·부가세 엑셀에서 추출 가능한 정보</t>
        </is>
      </c>
    </row>
    <row r="11">
      <c r="A11" t="inlineStr">
        <is>
          <t xml:space="preserve">    예: 성명, 사업자번호, 업종코드, 수입금액, 전년도 결정세액, 근로/연금 해당여부</t>
        </is>
      </c>
    </row>
    <row r="12">
      <c r="A12" t="inlineStr">
        <is>
          <t>B (수동): 매입자료, 신용카드 사용액, 임차료, 지급이자 등 외부 자료 필요</t>
        </is>
      </c>
    </row>
    <row r="13">
      <c r="A13" t="inlineStr">
        <is>
          <t xml:space="preserve">    예: 신용카드 매입, 급여, 임차료, 접대비, 기부금, 감가상각비</t>
        </is>
      </c>
    </row>
    <row r="14">
      <c r="A14" t="inlineStr"/>
    </row>
    <row r="15">
      <c r="A15" t="inlineStr">
        <is>
          <t>[작성 방법]</t>
        </is>
      </c>
    </row>
    <row r="16">
      <c r="A16" t="inlineStr">
        <is>
          <t>F열 '분류'에 A 또는 B 입력</t>
        </is>
      </c>
    </row>
    <row r="17">
      <c r="A17" t="inlineStr">
        <is>
          <t>G열에 데이터 출처(예: '안내문 PDF 1페이지') 또는 메모(예: '카카오뱅크 거래내역') 입력</t>
        </is>
      </c>
    </row>
    <row r="18">
      <c r="A18" t="inlineStr"/>
    </row>
    <row r="19">
      <c r="A19" t="inlineStr">
        <is>
          <t>[전체 노란셀 개수] 315개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30" customWidth="1" min="4" max="4"/>
    <col width="40" customWidth="1" min="5" max="5"/>
    <col width="12" customWidth="1" min="6" max="6"/>
    <col width="30" customWidth="1" min="7" max="7"/>
  </cols>
  <sheetData>
    <row r="1">
      <c r="A1" s="2" t="inlineStr">
        <is>
          <t>양식</t>
        </is>
      </c>
      <c r="B1" s="2" t="inlineStr">
        <is>
          <t>시트</t>
        </is>
      </c>
      <c r="C1" s="2" t="inlineStr">
        <is>
          <t>셀좌표</t>
        </is>
      </c>
      <c r="D1" s="2" t="inlineStr">
        <is>
          <t>샘플값</t>
        </is>
      </c>
      <c r="E1" s="2" t="inlineStr">
        <is>
          <t>인접라벨</t>
        </is>
      </c>
      <c r="F1" s="2" t="inlineStr">
        <is>
          <t>분류(A/B)</t>
        </is>
      </c>
      <c r="G1" s="2" t="inlineStr">
        <is>
          <t>데이터출처/메모</t>
        </is>
      </c>
    </row>
    <row r="2">
      <c r="A2" t="inlineStr">
        <is>
          <t>간편장부</t>
        </is>
      </c>
      <c r="B2" t="inlineStr">
        <is>
          <t>프리</t>
        </is>
      </c>
      <c r="C2" t="inlineStr">
        <is>
          <t>B2</t>
        </is>
      </c>
      <c r="D2" t="inlineStr">
        <is>
          <t>박찬영</t>
        </is>
      </c>
      <c r="E2" t="inlineStr">
        <is>
          <t>←확인사항 / ↑노랑셀만입력</t>
        </is>
      </c>
      <c r="F2" s="3" t="inlineStr"/>
      <c r="G2" s="3" t="inlineStr"/>
    </row>
    <row r="3">
      <c r="A3" t="inlineStr">
        <is>
          <t>간편장부</t>
        </is>
      </c>
      <c r="B3" t="inlineStr">
        <is>
          <t>프리</t>
        </is>
      </c>
      <c r="C3" t="inlineStr">
        <is>
          <t>E11</t>
        </is>
      </c>
      <c r="D3" t="inlineStr">
        <is>
          <t>49600000</t>
        </is>
      </c>
      <c r="E3" t="inlineStr">
        <is>
          <t>←해당</t>
        </is>
      </c>
      <c r="F3" s="3" t="inlineStr"/>
      <c r="G3" s="3" t="inlineStr"/>
    </row>
    <row r="4">
      <c r="A4" t="inlineStr">
        <is>
          <t>간편장부</t>
        </is>
      </c>
      <c r="B4" t="inlineStr">
        <is>
          <t>프리</t>
        </is>
      </c>
      <c r="C4" t="inlineStr">
        <is>
          <t>F11</t>
        </is>
      </c>
      <c r="D4" t="inlineStr">
        <is>
          <t>940909</t>
        </is>
      </c>
      <c r="E4" t="inlineStr">
        <is>
          <t>←해당</t>
        </is>
      </c>
      <c r="F4" s="3" t="inlineStr"/>
      <c r="G4" s="3" t="inlineStr"/>
    </row>
    <row r="5">
      <c r="A5" t="inlineStr">
        <is>
          <t>간편장부</t>
        </is>
      </c>
      <c r="B5" t="inlineStr">
        <is>
          <t>프리</t>
        </is>
      </c>
      <c r="C5" t="inlineStr">
        <is>
          <t>J12</t>
        </is>
      </c>
      <c r="D5" t="inlineStr">
        <is>
          <t>0</t>
        </is>
      </c>
      <c r="E5" t="inlineStr">
        <is>
          <t>←=IF(D12="해당","세무사보고","Pass") / ↑수입금액</t>
        </is>
      </c>
      <c r="F5" s="3" t="inlineStr"/>
      <c r="G5" s="3" t="inlineStr"/>
    </row>
    <row r="6">
      <c r="A6" t="inlineStr">
        <is>
          <t>간편장부</t>
        </is>
      </c>
      <c r="B6" t="inlineStr">
        <is>
          <t>프리</t>
        </is>
      </c>
      <c r="C6" t="inlineStr">
        <is>
          <t>K12</t>
        </is>
      </c>
      <c r="D6" t="inlineStr">
        <is>
          <t>0.2514</t>
        </is>
      </c>
      <c r="E6" t="inlineStr">
        <is>
          <t>←=IF(D12="해당","세무사보고","Pass") / ↑적정소득율</t>
        </is>
      </c>
      <c r="F6" s="3" t="inlineStr"/>
      <c r="G6" s="3" t="inlineStr"/>
    </row>
    <row r="7">
      <c r="A7" t="inlineStr">
        <is>
          <t>간편장부</t>
        </is>
      </c>
      <c r="B7" t="inlineStr">
        <is>
          <t>프리</t>
        </is>
      </c>
      <c r="C7" t="inlineStr">
        <is>
          <t>J13</t>
        </is>
      </c>
      <c r="D7" t="inlineStr">
        <is>
          <t>30000000</t>
        </is>
      </c>
      <c r="E7" t="inlineStr">
        <is>
          <t>←=IF(D13="해당","세무사보고","Pass") / ↑수입금액</t>
        </is>
      </c>
      <c r="F7" s="3" t="inlineStr"/>
      <c r="G7" s="3" t="inlineStr"/>
    </row>
    <row r="8">
      <c r="A8" t="inlineStr">
        <is>
          <t>간편장부</t>
        </is>
      </c>
      <c r="B8" t="inlineStr">
        <is>
          <t>프리</t>
        </is>
      </c>
      <c r="C8" t="inlineStr">
        <is>
          <t>K13</t>
        </is>
      </c>
      <c r="D8" t="inlineStr">
        <is>
          <t>0.2614</t>
        </is>
      </c>
      <c r="E8" t="inlineStr">
        <is>
          <t>←=IF(D13="해당","세무사보고","Pass") / ↑적정소득율</t>
        </is>
      </c>
      <c r="F8" s="3" t="inlineStr"/>
      <c r="G8" s="3" t="inlineStr"/>
    </row>
    <row r="9">
      <c r="A9" t="inlineStr">
        <is>
          <t>간편장부</t>
        </is>
      </c>
      <c r="B9" t="inlineStr">
        <is>
          <t>프리</t>
        </is>
      </c>
      <c r="C9" t="inlineStr">
        <is>
          <t>J14</t>
        </is>
      </c>
      <c r="D9" t="inlineStr">
        <is>
          <t>35000000</t>
        </is>
      </c>
      <c r="E9" t="inlineStr">
        <is>
          <t>←=IF(D14="해당","세무사보고","Pass") / ↑수입금액</t>
        </is>
      </c>
      <c r="F9" s="3" t="inlineStr"/>
      <c r="G9" s="3" t="inlineStr"/>
    </row>
    <row r="10">
      <c r="A10" t="inlineStr">
        <is>
          <t>간편장부</t>
        </is>
      </c>
      <c r="B10" t="inlineStr">
        <is>
          <t>프리</t>
        </is>
      </c>
      <c r="C10" t="inlineStr">
        <is>
          <t>K14</t>
        </is>
      </c>
      <c r="D10" t="inlineStr">
        <is>
          <t>0.2857</t>
        </is>
      </c>
      <c r="E10" t="inlineStr">
        <is>
          <t>←=IF(D14="해당","세무사보고","Pass") / ↑적정소득율</t>
        </is>
      </c>
      <c r="F10" s="3" t="inlineStr"/>
      <c r="G10" s="3" t="inlineStr"/>
    </row>
    <row r="11">
      <c r="A11" t="inlineStr">
        <is>
          <t>간편장부</t>
        </is>
      </c>
      <c r="B11" t="inlineStr">
        <is>
          <t>프리</t>
        </is>
      </c>
      <c r="C11" t="inlineStr">
        <is>
          <t>J15</t>
        </is>
      </c>
      <c r="D11" t="inlineStr">
        <is>
          <t>40000000</t>
        </is>
      </c>
      <c r="E11" t="inlineStr">
        <is>
          <t>←=IF(D15="해당","세무사보고","Pass")</t>
        </is>
      </c>
      <c r="F11" s="3" t="inlineStr"/>
      <c r="G11" s="3" t="inlineStr"/>
    </row>
    <row r="12">
      <c r="A12" t="inlineStr">
        <is>
          <t>간편장부</t>
        </is>
      </c>
      <c r="B12" t="inlineStr">
        <is>
          <t>프리</t>
        </is>
      </c>
      <c r="C12" t="inlineStr">
        <is>
          <t>K15</t>
        </is>
      </c>
      <c r="D12" t="inlineStr">
        <is>
          <t>0.3048</t>
        </is>
      </c>
      <c r="E12" t="inlineStr">
        <is>
          <t>←=IF(D15="해당","세무사보고","Pass")</t>
        </is>
      </c>
      <c r="F12" s="3" t="inlineStr"/>
      <c r="G12" s="3" t="inlineStr"/>
    </row>
    <row r="13">
      <c r="A13" t="inlineStr">
        <is>
          <t>간편장부</t>
        </is>
      </c>
      <c r="B13" t="inlineStr">
        <is>
          <t>프리</t>
        </is>
      </c>
      <c r="C13" t="inlineStr">
        <is>
          <t>F19</t>
        </is>
      </c>
      <c r="D13" t="inlineStr">
        <is>
          <t>0</t>
        </is>
      </c>
      <c r="E13" t="inlineStr">
        <is>
          <t>←신용카드 / ↑=F19+F20</t>
        </is>
      </c>
      <c r="F13" s="3" t="inlineStr"/>
      <c r="G13" s="3" t="inlineStr"/>
    </row>
    <row r="14">
      <c r="A14" t="inlineStr">
        <is>
          <t>간편장부</t>
        </is>
      </c>
      <c r="B14" t="inlineStr">
        <is>
          <t>프리</t>
        </is>
      </c>
      <c r="C14" t="inlineStr">
        <is>
          <t>F36</t>
        </is>
      </c>
      <c r="D14" t="inlineStr">
        <is>
          <t>7503931</t>
        </is>
      </c>
      <c r="E14" t="inlineStr">
        <is>
          <t>←접대비</t>
        </is>
      </c>
      <c r="F14" s="3" t="inlineStr"/>
      <c r="G14" s="3" t="inlineStr"/>
    </row>
    <row r="15">
      <c r="A15" t="inlineStr">
        <is>
          <t>간편장부</t>
        </is>
      </c>
      <c r="B15" t="inlineStr">
        <is>
          <t>프리</t>
        </is>
      </c>
      <c r="C15" t="inlineStr">
        <is>
          <t>F40</t>
        </is>
      </c>
      <c r="D15" t="inlineStr">
        <is>
          <t>9793047</t>
        </is>
      </c>
      <c r="E15" t="inlineStr">
        <is>
          <t>←지급수수료</t>
        </is>
      </c>
      <c r="F15" s="3" t="inlineStr"/>
      <c r="G15" s="3" t="inlineStr"/>
    </row>
    <row r="16">
      <c r="A16" t="inlineStr">
        <is>
          <t>간편장부</t>
        </is>
      </c>
      <c r="B16" t="inlineStr">
        <is>
          <t>프리</t>
        </is>
      </c>
      <c r="C16" t="inlineStr">
        <is>
          <t>F41</t>
        </is>
      </c>
      <c r="D16" t="inlineStr">
        <is>
          <t>6937128</t>
        </is>
      </c>
      <c r="E16" t="inlineStr">
        <is>
          <t>←소모품비</t>
        </is>
      </c>
      <c r="F16" s="3" t="inlineStr"/>
      <c r="G16" s="3" t="inlineStr"/>
    </row>
    <row r="17">
      <c r="A17" t="inlineStr">
        <is>
          <t>간편장부</t>
        </is>
      </c>
      <c r="B17" t="inlineStr">
        <is>
          <t>프리</t>
        </is>
      </c>
      <c r="C17" t="inlineStr">
        <is>
          <t>F43</t>
        </is>
      </c>
      <c r="D17" t="inlineStr">
        <is>
          <t>0</t>
        </is>
      </c>
      <c r="E17" t="inlineStr">
        <is>
          <t>←운반비</t>
        </is>
      </c>
      <c r="F17" s="3" t="inlineStr"/>
      <c r="G17" s="3" t="inlineStr"/>
    </row>
    <row r="18">
      <c r="A18" t="inlineStr">
        <is>
          <t>간편장부</t>
        </is>
      </c>
      <c r="B18" t="inlineStr">
        <is>
          <t>프리</t>
        </is>
      </c>
      <c r="C18" t="inlineStr">
        <is>
          <t>F44</t>
        </is>
      </c>
      <c r="D18" t="inlineStr">
        <is>
          <t>0</t>
        </is>
      </c>
      <c r="E18" t="inlineStr">
        <is>
          <t>←광고선전비</t>
        </is>
      </c>
      <c r="F18" s="3" t="inlineStr"/>
      <c r="G18" s="3" t="inlineStr"/>
    </row>
    <row r="19">
      <c r="A19" t="inlineStr">
        <is>
          <t>간편장부</t>
        </is>
      </c>
      <c r="B19" t="inlineStr">
        <is>
          <t>프리</t>
        </is>
      </c>
      <c r="C19" t="inlineStr">
        <is>
          <t>F45</t>
        </is>
      </c>
      <c r="D19" t="inlineStr">
        <is>
          <t>2438960</t>
        </is>
      </c>
      <c r="E19" t="inlineStr">
        <is>
          <t>←여비교통비</t>
        </is>
      </c>
      <c r="F19" s="3" t="inlineStr"/>
      <c r="G19" s="3" t="inlineStr"/>
    </row>
    <row r="20">
      <c r="A20" t="inlineStr">
        <is>
          <t>간편장부</t>
        </is>
      </c>
      <c r="B20" t="inlineStr">
        <is>
          <t>프리</t>
        </is>
      </c>
      <c r="C20" t="inlineStr">
        <is>
          <t>F46</t>
        </is>
      </c>
      <c r="D20" t="inlineStr">
        <is>
          <t>10804564</t>
        </is>
      </c>
      <c r="E20" t="inlineStr">
        <is>
          <t>←기타</t>
        </is>
      </c>
      <c r="F20" s="3" t="inlineStr"/>
      <c r="G20" s="3" t="inlineStr"/>
    </row>
    <row r="21">
      <c r="A21" t="inlineStr">
        <is>
          <t>간편장부</t>
        </is>
      </c>
      <c r="B21" t="inlineStr">
        <is>
          <t>프리+프리</t>
        </is>
      </c>
      <c r="C21" t="inlineStr">
        <is>
          <t>B2</t>
        </is>
      </c>
      <c r="D21" t="inlineStr">
        <is>
          <t>박주환</t>
        </is>
      </c>
      <c r="E21" t="inlineStr">
        <is>
          <t>←확인사항 / ↑노랑셀만입력</t>
        </is>
      </c>
      <c r="F21" s="3" t="inlineStr"/>
      <c r="G21" s="3" t="inlineStr"/>
    </row>
    <row r="22">
      <c r="A22" t="inlineStr">
        <is>
          <t>간편장부</t>
        </is>
      </c>
      <c r="B22" t="inlineStr">
        <is>
          <t>프리+프리</t>
        </is>
      </c>
      <c r="C22" t="inlineStr">
        <is>
          <t>E10</t>
        </is>
      </c>
      <c r="D22" t="inlineStr">
        <is>
          <t>41416116</t>
        </is>
      </c>
      <c r="E22" t="inlineStr">
        <is>
          <t>←해당</t>
        </is>
      </c>
      <c r="F22" s="3" t="inlineStr"/>
      <c r="G22" s="3" t="inlineStr"/>
    </row>
    <row r="23">
      <c r="A23" t="inlineStr">
        <is>
          <t>간편장부</t>
        </is>
      </c>
      <c r="B23" t="inlineStr">
        <is>
          <t>프리+프리</t>
        </is>
      </c>
      <c r="C23" t="inlineStr">
        <is>
          <t>F10</t>
        </is>
      </c>
      <c r="D23" t="inlineStr">
        <is>
          <t>940100</t>
        </is>
      </c>
      <c r="E23" t="inlineStr">
        <is>
          <t>←해당</t>
        </is>
      </c>
      <c r="F23" s="3" t="inlineStr"/>
      <c r="G23" s="3" t="inlineStr"/>
    </row>
    <row r="24">
      <c r="A24" t="inlineStr">
        <is>
          <t>간편장부</t>
        </is>
      </c>
      <c r="B24" t="inlineStr">
        <is>
          <t>프리+프리</t>
        </is>
      </c>
      <c r="C24" t="inlineStr">
        <is>
          <t>E11</t>
        </is>
      </c>
      <c r="D24">
        <f>22400000+24560000</f>
        <v/>
      </c>
      <c r="E24" t="inlineStr">
        <is>
          <t>←해당</t>
        </is>
      </c>
      <c r="F24" s="3" t="inlineStr"/>
      <c r="G24" s="3" t="inlineStr"/>
    </row>
    <row r="25">
      <c r="A25" t="inlineStr">
        <is>
          <t>간편장부</t>
        </is>
      </c>
      <c r="B25" t="inlineStr">
        <is>
          <t>프리+프리</t>
        </is>
      </c>
      <c r="C25" t="inlineStr">
        <is>
          <t>F11</t>
        </is>
      </c>
      <c r="D25" t="inlineStr">
        <is>
          <t>940200</t>
        </is>
      </c>
      <c r="E25" t="inlineStr">
        <is>
          <t>←=22400000+24560000</t>
        </is>
      </c>
      <c r="F25" s="3" t="inlineStr"/>
      <c r="G25" s="3" t="inlineStr"/>
    </row>
    <row r="26">
      <c r="A26" t="inlineStr">
        <is>
          <t>간편장부</t>
        </is>
      </c>
      <c r="B26" t="inlineStr">
        <is>
          <t>프리+프리</t>
        </is>
      </c>
      <c r="C26" t="inlineStr">
        <is>
          <t>F20</t>
        </is>
      </c>
      <c r="D26" t="inlineStr">
        <is>
          <t>0</t>
        </is>
      </c>
      <c r="E26" t="inlineStr">
        <is>
          <t>←신용카드 / ↑=F20+F21</t>
        </is>
      </c>
      <c r="F26" s="3" t="inlineStr"/>
      <c r="G26" s="3" t="inlineStr"/>
    </row>
    <row r="27">
      <c r="A27" t="inlineStr">
        <is>
          <t>간편장부</t>
        </is>
      </c>
      <c r="B27" t="inlineStr">
        <is>
          <t>프리+프리</t>
        </is>
      </c>
      <c r="C27" t="inlineStr">
        <is>
          <t>C30</t>
        </is>
      </c>
      <c r="D27" t="inlineStr">
        <is>
          <t>0</t>
        </is>
      </c>
      <c r="E27" t="inlineStr">
        <is>
          <t>←당기매입액 / ↑=C18-C24</t>
        </is>
      </c>
      <c r="F27" s="3" t="inlineStr"/>
      <c r="G27" s="3" t="inlineStr"/>
    </row>
    <row r="28">
      <c r="A28" t="inlineStr">
        <is>
          <t>간편장부</t>
        </is>
      </c>
      <c r="B28" t="inlineStr">
        <is>
          <t>프리+프리</t>
        </is>
      </c>
      <c r="C28" t="inlineStr">
        <is>
          <t>G30</t>
        </is>
      </c>
      <c r="D28">
        <f>C30+F30</f>
        <v/>
      </c>
      <c r="E28" t="inlineStr">
        <is>
          <t>←급여</t>
        </is>
      </c>
      <c r="F28" s="3" t="inlineStr"/>
      <c r="G28" s="3" t="inlineStr"/>
    </row>
    <row r="29">
      <c r="A29" t="inlineStr">
        <is>
          <t>간편장부</t>
        </is>
      </c>
      <c r="B29" t="inlineStr">
        <is>
          <t>프리+프리</t>
        </is>
      </c>
      <c r="C29" t="inlineStr">
        <is>
          <t>G31</t>
        </is>
      </c>
      <c r="D29">
        <f>C31+F31</f>
        <v/>
      </c>
      <c r="E29" t="inlineStr">
        <is>
          <t>←급여 / ↑=C30+F30</t>
        </is>
      </c>
      <c r="F29" s="3" t="inlineStr"/>
      <c r="G29" s="3" t="inlineStr"/>
    </row>
    <row r="30">
      <c r="A30" t="inlineStr">
        <is>
          <t>간편장부</t>
        </is>
      </c>
      <c r="B30" t="inlineStr">
        <is>
          <t>프리+프리</t>
        </is>
      </c>
      <c r="C30" t="inlineStr">
        <is>
          <t>G32</t>
        </is>
      </c>
      <c r="D30">
        <f>C32+F32</f>
        <v/>
      </c>
      <c r="E30" t="inlineStr">
        <is>
          <t>←제세공과금 / ↑=C31+F31</t>
        </is>
      </c>
      <c r="F30" s="3" t="inlineStr"/>
      <c r="G30" s="3" t="inlineStr"/>
    </row>
    <row r="31">
      <c r="A31" t="inlineStr">
        <is>
          <t>간편장부</t>
        </is>
      </c>
      <c r="B31" t="inlineStr">
        <is>
          <t>프리+프리</t>
        </is>
      </c>
      <c r="C31" t="inlineStr">
        <is>
          <t>G33</t>
        </is>
      </c>
      <c r="D31">
        <f>C33+F33</f>
        <v/>
      </c>
      <c r="E31" t="inlineStr">
        <is>
          <t>←임차료 / ↑=C32+F32</t>
        </is>
      </c>
      <c r="F31" s="3" t="inlineStr"/>
      <c r="G31" s="3" t="inlineStr"/>
    </row>
    <row r="32">
      <c r="A32" t="inlineStr">
        <is>
          <t>간편장부</t>
        </is>
      </c>
      <c r="B32" t="inlineStr">
        <is>
          <t>프리+프리</t>
        </is>
      </c>
      <c r="C32" t="inlineStr">
        <is>
          <t>G34</t>
        </is>
      </c>
      <c r="D32">
        <f>C34+F34</f>
        <v/>
      </c>
      <c r="E32" t="inlineStr">
        <is>
          <t>←지급이자 / ↑=C33+F33</t>
        </is>
      </c>
      <c r="F32" s="3" t="inlineStr"/>
      <c r="G32" s="3" t="inlineStr"/>
    </row>
    <row r="33">
      <c r="A33" t="inlineStr">
        <is>
          <t>간편장부</t>
        </is>
      </c>
      <c r="B33" t="inlineStr">
        <is>
          <t>프리+프리</t>
        </is>
      </c>
      <c r="C33" t="inlineStr">
        <is>
          <t>C35</t>
        </is>
      </c>
      <c r="D33" t="inlineStr">
        <is>
          <t>5403591</t>
        </is>
      </c>
      <c r="E33" t="inlineStr">
        <is>
          <t>←접대비</t>
        </is>
      </c>
      <c r="F33" s="3" t="inlineStr"/>
      <c r="G33" s="3" t="inlineStr"/>
    </row>
    <row r="34">
      <c r="A34" t="inlineStr">
        <is>
          <t>간편장부</t>
        </is>
      </c>
      <c r="B34" t="inlineStr">
        <is>
          <t>프리+프리</t>
        </is>
      </c>
      <c r="C34" t="inlineStr">
        <is>
          <t>F35</t>
        </is>
      </c>
      <c r="D34" t="inlineStr">
        <is>
          <t>6135097</t>
        </is>
      </c>
      <c r="E34" t="inlineStr">
        <is>
          <t>←=F35-3530697</t>
        </is>
      </c>
      <c r="F34" s="3" t="inlineStr"/>
      <c r="G34" s="3" t="inlineStr"/>
    </row>
    <row r="35">
      <c r="A35" t="inlineStr">
        <is>
          <t>간편장부</t>
        </is>
      </c>
      <c r="B35" t="inlineStr">
        <is>
          <t>프리+프리</t>
        </is>
      </c>
      <c r="C35" t="inlineStr">
        <is>
          <t>G35</t>
        </is>
      </c>
      <c r="D35">
        <f>C35+F35</f>
        <v/>
      </c>
      <c r="E35" t="inlineStr">
        <is>
          <t>←=F35-3530697 / ↑=C34+F34</t>
        </is>
      </c>
      <c r="F35" s="3" t="inlineStr"/>
      <c r="G35" s="3" t="inlineStr"/>
    </row>
    <row r="36">
      <c r="A36" t="inlineStr">
        <is>
          <t>간편장부</t>
        </is>
      </c>
      <c r="B36" t="inlineStr">
        <is>
          <t>프리+프리</t>
        </is>
      </c>
      <c r="C36" t="inlineStr">
        <is>
          <t>H35</t>
        </is>
      </c>
      <c r="D36">
        <f>IF(G35&gt;=120000000,"Error","Pass")</f>
        <v/>
      </c>
      <c r="E36" t="inlineStr">
        <is>
          <t>←=C35+F35</t>
        </is>
      </c>
      <c r="F36" s="3" t="inlineStr"/>
      <c r="G36" s="3" t="inlineStr"/>
    </row>
    <row r="37">
      <c r="A37" t="inlineStr">
        <is>
          <t>간편장부</t>
        </is>
      </c>
      <c r="B37" t="inlineStr">
        <is>
          <t>프리+프리</t>
        </is>
      </c>
      <c r="C37" t="inlineStr">
        <is>
          <t>G36</t>
        </is>
      </c>
      <c r="D37">
        <f>C36+F36</f>
        <v/>
      </c>
      <c r="E37" t="inlineStr">
        <is>
          <t>←기부금 / ↑=C35+F35</t>
        </is>
      </c>
      <c r="F37" s="3" t="inlineStr"/>
      <c r="G37" s="3" t="inlineStr"/>
    </row>
    <row r="38">
      <c r="A38" t="inlineStr">
        <is>
          <t>간편장부</t>
        </is>
      </c>
      <c r="B38" t="inlineStr">
        <is>
          <t>프리+프리</t>
        </is>
      </c>
      <c r="C38" t="inlineStr">
        <is>
          <t>G37</t>
        </is>
      </c>
      <c r="D38">
        <f>C37+F37</f>
        <v/>
      </c>
      <c r="E38" t="inlineStr">
        <is>
          <t>←감가상각비 / ↑=C36+F36</t>
        </is>
      </c>
      <c r="F38" s="3" t="inlineStr"/>
      <c r="G38" s="3" t="inlineStr"/>
    </row>
    <row r="39">
      <c r="A39" t="inlineStr">
        <is>
          <t>간편장부</t>
        </is>
      </c>
      <c r="B39" t="inlineStr">
        <is>
          <t>프리+프리</t>
        </is>
      </c>
      <c r="C39" t="inlineStr">
        <is>
          <t>H37</t>
        </is>
      </c>
      <c r="D39">
        <f>IF(G37&gt;0,"차량확인","Pass")</f>
        <v/>
      </c>
      <c r="E39" t="inlineStr">
        <is>
          <t>←=C37+F37 / ↑=IF(G35&gt;=120000000,"Error","Pass")</t>
        </is>
      </c>
      <c r="F39" s="3" t="inlineStr"/>
      <c r="G39" s="3" t="inlineStr"/>
    </row>
    <row r="40">
      <c r="A40" t="inlineStr">
        <is>
          <t>간편장부</t>
        </is>
      </c>
      <c r="B40" t="inlineStr">
        <is>
          <t>프리+프리</t>
        </is>
      </c>
      <c r="C40" t="inlineStr">
        <is>
          <t>G38</t>
        </is>
      </c>
      <c r="D40">
        <f>C38+F38</f>
        <v/>
      </c>
      <c r="E40" t="inlineStr">
        <is>
          <t>←차량유지비 / ↑=C37+F37</t>
        </is>
      </c>
      <c r="F40" s="3" t="inlineStr"/>
      <c r="G40" s="3" t="inlineStr"/>
    </row>
    <row r="41">
      <c r="A41" t="inlineStr">
        <is>
          <t>간편장부</t>
        </is>
      </c>
      <c r="B41" t="inlineStr">
        <is>
          <t>프리+프리</t>
        </is>
      </c>
      <c r="C41" t="inlineStr">
        <is>
          <t>H38</t>
        </is>
      </c>
      <c r="D41">
        <f>IF(G38&gt;0,"차량확인","Pass")</f>
        <v/>
      </c>
      <c r="E41" t="inlineStr">
        <is>
          <t>←=C38+F38 / ↑=IF(G37&gt;0,"차량확인","Pass")</t>
        </is>
      </c>
      <c r="F41" s="3" t="inlineStr"/>
      <c r="G41" s="3" t="inlineStr"/>
    </row>
    <row r="42">
      <c r="A42" t="inlineStr">
        <is>
          <t>간편장부</t>
        </is>
      </c>
      <c r="B42" t="inlineStr">
        <is>
          <t>프리+프리</t>
        </is>
      </c>
      <c r="C42" t="inlineStr">
        <is>
          <t>C39</t>
        </is>
      </c>
      <c r="D42" t="inlineStr">
        <is>
          <t>7103550</t>
        </is>
      </c>
      <c r="E42" t="inlineStr">
        <is>
          <t>←지급수수료</t>
        </is>
      </c>
      <c r="F42" s="3" t="inlineStr"/>
      <c r="G42" s="3" t="inlineStr"/>
    </row>
    <row r="43">
      <c r="A43" t="inlineStr">
        <is>
          <t>간편장부</t>
        </is>
      </c>
      <c r="B43" t="inlineStr">
        <is>
          <t>프리+프리</t>
        </is>
      </c>
      <c r="C43" t="inlineStr">
        <is>
          <t>F39</t>
        </is>
      </c>
      <c r="D43" t="inlineStr">
        <is>
          <t>8435046</t>
        </is>
      </c>
      <c r="E43" t="inlineStr">
        <is>
          <t>←=F39-4503540</t>
        </is>
      </c>
      <c r="F43" s="3" t="inlineStr"/>
      <c r="G43" s="3" t="inlineStr"/>
    </row>
    <row r="44">
      <c r="A44" t="inlineStr">
        <is>
          <t>간편장부</t>
        </is>
      </c>
      <c r="B44" t="inlineStr">
        <is>
          <t>프리+프리</t>
        </is>
      </c>
      <c r="C44" t="inlineStr">
        <is>
          <t>G39</t>
        </is>
      </c>
      <c r="D44">
        <f>C39+F39</f>
        <v/>
      </c>
      <c r="E44" t="inlineStr">
        <is>
          <t>←=F39-4503540 / ↑=C38+F38</t>
        </is>
      </c>
      <c r="F44" s="3" t="inlineStr"/>
      <c r="G44" s="3" t="inlineStr"/>
    </row>
    <row r="45">
      <c r="A45" t="inlineStr">
        <is>
          <t>간편장부</t>
        </is>
      </c>
      <c r="B45" t="inlineStr">
        <is>
          <t>프리+프리</t>
        </is>
      </c>
      <c r="C45" t="inlineStr">
        <is>
          <t>C40</t>
        </is>
      </c>
      <c r="D45" t="inlineStr">
        <is>
          <t>4830413</t>
        </is>
      </c>
      <c r="E45" t="inlineStr">
        <is>
          <t>←소모품비</t>
        </is>
      </c>
      <c r="F45" s="3" t="inlineStr"/>
      <c r="G45" s="3" t="inlineStr"/>
    </row>
    <row r="46">
      <c r="A46" t="inlineStr">
        <is>
          <t>간편장부</t>
        </is>
      </c>
      <c r="B46" t="inlineStr">
        <is>
          <t>프리+프리</t>
        </is>
      </c>
      <c r="C46" t="inlineStr">
        <is>
          <t>F40</t>
        </is>
      </c>
      <c r="D46" t="inlineStr">
        <is>
          <t>5130543</t>
        </is>
      </c>
      <c r="E46" t="inlineStr">
        <is>
          <t>←=F40-2245194</t>
        </is>
      </c>
      <c r="F46" s="3" t="inlineStr"/>
      <c r="G46" s="3" t="inlineStr"/>
    </row>
    <row r="47">
      <c r="A47" t="inlineStr">
        <is>
          <t>간편장부</t>
        </is>
      </c>
      <c r="B47" t="inlineStr">
        <is>
          <t>프리+프리</t>
        </is>
      </c>
      <c r="C47" t="inlineStr">
        <is>
          <t>G40</t>
        </is>
      </c>
      <c r="D47">
        <f>C40+F40</f>
        <v/>
      </c>
      <c r="E47" t="inlineStr">
        <is>
          <t>←=F40-2245194 / ↑=C39+F39</t>
        </is>
      </c>
      <c r="F47" s="3" t="inlineStr"/>
      <c r="G47" s="3" t="inlineStr"/>
    </row>
    <row r="48">
      <c r="A48" t="inlineStr">
        <is>
          <t>간편장부</t>
        </is>
      </c>
      <c r="B48" t="inlineStr">
        <is>
          <t>프리+프리</t>
        </is>
      </c>
      <c r="C48" t="inlineStr">
        <is>
          <t>G41</t>
        </is>
      </c>
      <c r="D48">
        <f>C41+F41</f>
        <v/>
      </c>
      <c r="E48" t="inlineStr">
        <is>
          <t>←복리후생비 / ↑=C40+F40</t>
        </is>
      </c>
      <c r="F48" s="3" t="inlineStr"/>
      <c r="G48" s="3" t="inlineStr"/>
    </row>
    <row r="49">
      <c r="A49" t="inlineStr">
        <is>
          <t>간편장부</t>
        </is>
      </c>
      <c r="B49" t="inlineStr">
        <is>
          <t>프리+프리</t>
        </is>
      </c>
      <c r="C49" t="inlineStr">
        <is>
          <t>F42</t>
        </is>
      </c>
      <c r="D49" t="inlineStr">
        <is>
          <t>0</t>
        </is>
      </c>
      <c r="E49" t="inlineStr">
        <is>
          <t>←운반비</t>
        </is>
      </c>
      <c r="F49" s="3" t="inlineStr"/>
      <c r="G49" s="3" t="inlineStr"/>
    </row>
    <row r="50">
      <c r="A50" t="inlineStr">
        <is>
          <t>간편장부</t>
        </is>
      </c>
      <c r="B50" t="inlineStr">
        <is>
          <t>프리+프리</t>
        </is>
      </c>
      <c r="C50" t="inlineStr">
        <is>
          <t>G42</t>
        </is>
      </c>
      <c r="D50">
        <f>C42+F42</f>
        <v/>
      </c>
      <c r="E50" t="inlineStr">
        <is>
          <t>←운반비 / ↑=C41+F41</t>
        </is>
      </c>
      <c r="F50" s="3" t="inlineStr"/>
      <c r="G50" s="3" t="inlineStr"/>
    </row>
    <row r="51">
      <c r="A51" t="inlineStr">
        <is>
          <t>간편장부</t>
        </is>
      </c>
      <c r="B51" t="inlineStr">
        <is>
          <t>프리+프리</t>
        </is>
      </c>
      <c r="C51" t="inlineStr">
        <is>
          <t>F43</t>
        </is>
      </c>
      <c r="D51" t="inlineStr">
        <is>
          <t>0</t>
        </is>
      </c>
      <c r="E51" t="inlineStr">
        <is>
          <t>←광고선전비</t>
        </is>
      </c>
      <c r="F51" s="3" t="inlineStr"/>
      <c r="G51" s="3" t="inlineStr"/>
    </row>
    <row r="52">
      <c r="A52" t="inlineStr">
        <is>
          <t>간편장부</t>
        </is>
      </c>
      <c r="B52" t="inlineStr">
        <is>
          <t>프리+프리</t>
        </is>
      </c>
      <c r="C52" t="inlineStr">
        <is>
          <t>G43</t>
        </is>
      </c>
      <c r="D52">
        <f>C43+F43</f>
        <v/>
      </c>
      <c r="E52" t="inlineStr">
        <is>
          <t>←광고선전비 / ↑=C42+F42</t>
        </is>
      </c>
      <c r="F52" s="3" t="inlineStr"/>
      <c r="G52" s="3" t="inlineStr"/>
    </row>
    <row r="53">
      <c r="A53" t="inlineStr">
        <is>
          <t>간편장부</t>
        </is>
      </c>
      <c r="B53" t="inlineStr">
        <is>
          <t>프리+프리</t>
        </is>
      </c>
      <c r="C53" t="inlineStr">
        <is>
          <t>C44</t>
        </is>
      </c>
      <c r="D53" t="inlineStr">
        <is>
          <t>1103674</t>
        </is>
      </c>
      <c r="E53" t="inlineStr">
        <is>
          <t>←여비교통비</t>
        </is>
      </c>
      <c r="F53" s="3" t="inlineStr"/>
      <c r="G53" s="3" t="inlineStr"/>
    </row>
    <row r="54">
      <c r="A54" t="inlineStr">
        <is>
          <t>간편장부</t>
        </is>
      </c>
      <c r="B54" t="inlineStr">
        <is>
          <t>프리+프리</t>
        </is>
      </c>
      <c r="C54" t="inlineStr">
        <is>
          <t>F44</t>
        </is>
      </c>
      <c r="D54" t="inlineStr">
        <is>
          <t>0</t>
        </is>
      </c>
      <c r="E54" t="inlineStr">
        <is>
          <t>←여비교통비</t>
        </is>
      </c>
      <c r="F54" s="3" t="inlineStr"/>
      <c r="G54" s="3" t="inlineStr"/>
    </row>
    <row r="55">
      <c r="A55" t="inlineStr">
        <is>
          <t>간편장부</t>
        </is>
      </c>
      <c r="B55" t="inlineStr">
        <is>
          <t>프리+프리</t>
        </is>
      </c>
      <c r="C55" t="inlineStr">
        <is>
          <t>G44</t>
        </is>
      </c>
      <c r="D55">
        <f>C44+F44</f>
        <v/>
      </c>
      <c r="E55" t="inlineStr">
        <is>
          <t>←여비교통비 / ↑=C43+F43</t>
        </is>
      </c>
      <c r="F55" s="3" t="inlineStr"/>
      <c r="G55" s="3" t="inlineStr"/>
    </row>
    <row r="56">
      <c r="A56" t="inlineStr">
        <is>
          <t>간편장부</t>
        </is>
      </c>
      <c r="B56" t="inlineStr">
        <is>
          <t>프리+프리</t>
        </is>
      </c>
      <c r="C56" t="inlineStr">
        <is>
          <t>C45</t>
        </is>
      </c>
      <c r="D56" t="inlineStr">
        <is>
          <t>6043519</t>
        </is>
      </c>
      <c r="E56" t="inlineStr">
        <is>
          <t>←기타</t>
        </is>
      </c>
      <c r="F56" s="3" t="inlineStr"/>
      <c r="G56" s="3" t="inlineStr"/>
    </row>
    <row r="57">
      <c r="A57" t="inlineStr">
        <is>
          <t>간편장부</t>
        </is>
      </c>
      <c r="B57" t="inlineStr">
        <is>
          <t>프리+프리</t>
        </is>
      </c>
      <c r="C57" t="inlineStr">
        <is>
          <t>F45</t>
        </is>
      </c>
      <c r="D57" t="inlineStr">
        <is>
          <t>7523865</t>
        </is>
      </c>
      <c r="E57" t="inlineStr">
        <is>
          <t>←=F45-3210354</t>
        </is>
      </c>
      <c r="F57" s="3" t="inlineStr"/>
      <c r="G57" s="3" t="inlineStr"/>
    </row>
    <row r="58">
      <c r="A58" t="inlineStr">
        <is>
          <t>간편장부</t>
        </is>
      </c>
      <c r="B58" t="inlineStr">
        <is>
          <t>프리+프리</t>
        </is>
      </c>
      <c r="C58" t="inlineStr">
        <is>
          <t>G45</t>
        </is>
      </c>
      <c r="D58">
        <f>C45+F45</f>
        <v/>
      </c>
      <c r="E58" t="inlineStr">
        <is>
          <t>←=F45-3210354 / ↑=C44+F44</t>
        </is>
      </c>
      <c r="F58" s="3" t="inlineStr"/>
      <c r="G58" s="3" t="inlineStr"/>
    </row>
    <row r="59">
      <c r="A59" t="inlineStr">
        <is>
          <t>간편장부</t>
        </is>
      </c>
      <c r="B59" t="inlineStr">
        <is>
          <t>사업자+프리</t>
        </is>
      </c>
      <c r="C59" t="inlineStr">
        <is>
          <t>B2</t>
        </is>
      </c>
      <c r="D59" t="inlineStr">
        <is>
          <t>김성한</t>
        </is>
      </c>
      <c r="E59" t="inlineStr">
        <is>
          <t>←확인사항 / ↑노랑셀만입력</t>
        </is>
      </c>
      <c r="F59" s="3" t="inlineStr"/>
      <c r="G59" s="3" t="inlineStr"/>
    </row>
    <row r="60">
      <c r="A60" t="inlineStr">
        <is>
          <t>간편장부</t>
        </is>
      </c>
      <c r="B60" t="inlineStr">
        <is>
          <t>사업자+프리</t>
        </is>
      </c>
      <c r="C60" t="inlineStr">
        <is>
          <t>E10</t>
        </is>
      </c>
      <c r="D60">
        <f>81387280+12400+600871</f>
        <v/>
      </c>
      <c r="E60" t="inlineStr">
        <is>
          <t>←해당</t>
        </is>
      </c>
      <c r="F60" s="3" t="inlineStr"/>
      <c r="G60" s="3" t="inlineStr"/>
    </row>
    <row r="61">
      <c r="A61" t="inlineStr">
        <is>
          <t>간편장부</t>
        </is>
      </c>
      <c r="B61" t="inlineStr">
        <is>
          <t>사업자+프리</t>
        </is>
      </c>
      <c r="C61" t="inlineStr">
        <is>
          <t>F10</t>
        </is>
      </c>
      <c r="D61" t="inlineStr">
        <is>
          <t>940919</t>
        </is>
      </c>
      <c r="E61" t="inlineStr">
        <is>
          <t>←=81387280+12400+600871</t>
        </is>
      </c>
      <c r="F61" s="3" t="inlineStr"/>
      <c r="G61" s="3" t="inlineStr"/>
    </row>
    <row r="62">
      <c r="A62" t="inlineStr">
        <is>
          <t>간편장부</t>
        </is>
      </c>
      <c r="B62" t="inlineStr">
        <is>
          <t>사업자+프리</t>
        </is>
      </c>
      <c r="C62" t="inlineStr">
        <is>
          <t>E11</t>
        </is>
      </c>
      <c r="D62" t="inlineStr">
        <is>
          <t>0</t>
        </is>
      </c>
      <c r="E62" t="inlineStr">
        <is>
          <t>←해당 / ↑=81387280+12400+600871</t>
        </is>
      </c>
      <c r="F62" s="3" t="inlineStr"/>
      <c r="G62" s="3" t="inlineStr"/>
    </row>
    <row r="63">
      <c r="A63" t="inlineStr">
        <is>
          <t>간편장부</t>
        </is>
      </c>
      <c r="B63" t="inlineStr">
        <is>
          <t>사업자+프리</t>
        </is>
      </c>
      <c r="C63" t="inlineStr">
        <is>
          <t>F11</t>
        </is>
      </c>
      <c r="D63" t="inlineStr">
        <is>
          <t>940909</t>
        </is>
      </c>
      <c r="E63" t="inlineStr">
        <is>
          <t>←해당</t>
        </is>
      </c>
      <c r="F63" s="3" t="inlineStr"/>
      <c r="G63" s="3" t="inlineStr"/>
    </row>
    <row r="64">
      <c r="A64" t="inlineStr">
        <is>
          <t>간편장부</t>
        </is>
      </c>
      <c r="B64" t="inlineStr">
        <is>
          <t>사업자+프리</t>
        </is>
      </c>
      <c r="C64" t="inlineStr">
        <is>
          <t>F20</t>
        </is>
      </c>
      <c r="D64" t="inlineStr">
        <is>
          <t>0</t>
        </is>
      </c>
      <c r="E64" t="inlineStr">
        <is>
          <t>←신용카드 / ↑=F20+F21</t>
        </is>
      </c>
      <c r="F64" s="3" t="inlineStr"/>
      <c r="G64" s="3" t="inlineStr"/>
    </row>
    <row r="65">
      <c r="A65" t="inlineStr">
        <is>
          <t>간편장부</t>
        </is>
      </c>
      <c r="B65" t="inlineStr">
        <is>
          <t>사업자+프리</t>
        </is>
      </c>
      <c r="C65" t="inlineStr">
        <is>
          <t>C30</t>
        </is>
      </c>
      <c r="D65">
        <f>5023524+12830697</f>
        <v/>
      </c>
      <c r="E65" t="inlineStr">
        <is>
          <t>←당기매입액 / ↑=C18-C24</t>
        </is>
      </c>
      <c r="F65" s="3" t="inlineStr"/>
      <c r="G65" s="3" t="inlineStr"/>
    </row>
    <row r="66">
      <c r="A66" t="inlineStr">
        <is>
          <t>간편장부</t>
        </is>
      </c>
      <c r="B66" t="inlineStr">
        <is>
          <t>사업자+프리</t>
        </is>
      </c>
      <c r="C66" t="inlineStr">
        <is>
          <t>G30</t>
        </is>
      </c>
      <c r="D66">
        <f>C30+F30</f>
        <v/>
      </c>
      <c r="E66" t="inlineStr">
        <is>
          <t>←급여</t>
        </is>
      </c>
      <c r="F66" s="3" t="inlineStr"/>
      <c r="G66" s="3" t="inlineStr"/>
    </row>
    <row r="67">
      <c r="A67" t="inlineStr">
        <is>
          <t>간편장부</t>
        </is>
      </c>
      <c r="B67" t="inlineStr">
        <is>
          <t>사업자+프리</t>
        </is>
      </c>
      <c r="C67" t="inlineStr">
        <is>
          <t>G31</t>
        </is>
      </c>
      <c r="D67">
        <f>C31+F31</f>
        <v/>
      </c>
      <c r="E67" t="inlineStr">
        <is>
          <t>←급여 / ↑=C30+F30</t>
        </is>
      </c>
      <c r="F67" s="3" t="inlineStr"/>
      <c r="G67" s="3" t="inlineStr"/>
    </row>
    <row r="68">
      <c r="A68" t="inlineStr">
        <is>
          <t>간편장부</t>
        </is>
      </c>
      <c r="B68" t="inlineStr">
        <is>
          <t>사업자+프리</t>
        </is>
      </c>
      <c r="C68" t="inlineStr">
        <is>
          <t>G32</t>
        </is>
      </c>
      <c r="D68">
        <f>C32+F32</f>
        <v/>
      </c>
      <c r="E68" t="inlineStr">
        <is>
          <t>←제세공과금 / ↑=C31+F31</t>
        </is>
      </c>
      <c r="F68" s="3" t="inlineStr"/>
      <c r="G68" s="3" t="inlineStr"/>
    </row>
    <row r="69">
      <c r="A69" t="inlineStr">
        <is>
          <t>간편장부</t>
        </is>
      </c>
      <c r="B69" t="inlineStr">
        <is>
          <t>사업자+프리</t>
        </is>
      </c>
      <c r="C69" t="inlineStr">
        <is>
          <t>G33</t>
        </is>
      </c>
      <c r="D69">
        <f>C33+F33</f>
        <v/>
      </c>
      <c r="E69" t="inlineStr">
        <is>
          <t>←임차료 / ↑=C32+F32</t>
        </is>
      </c>
      <c r="F69" s="3" t="inlineStr"/>
      <c r="G69" s="3" t="inlineStr"/>
    </row>
    <row r="70">
      <c r="A70" t="inlineStr">
        <is>
          <t>간편장부</t>
        </is>
      </c>
      <c r="B70" t="inlineStr">
        <is>
          <t>사업자+프리</t>
        </is>
      </c>
      <c r="C70" t="inlineStr">
        <is>
          <t>G34</t>
        </is>
      </c>
      <c r="D70">
        <f>C34+F34</f>
        <v/>
      </c>
      <c r="E70" t="inlineStr">
        <is>
          <t>←지급이자 / ↑=C33+F33</t>
        </is>
      </c>
      <c r="F70" s="3" t="inlineStr"/>
      <c r="G70" s="3" t="inlineStr"/>
    </row>
    <row r="71">
      <c r="A71" t="inlineStr">
        <is>
          <t>간편장부</t>
        </is>
      </c>
      <c r="B71" t="inlineStr">
        <is>
          <t>사업자+프리</t>
        </is>
      </c>
      <c r="C71" t="inlineStr">
        <is>
          <t>C35</t>
        </is>
      </c>
      <c r="D71" t="inlineStr">
        <is>
          <t>5130409</t>
        </is>
      </c>
      <c r="E71" t="inlineStr">
        <is>
          <t>←접대비</t>
        </is>
      </c>
      <c r="F71" s="3" t="inlineStr"/>
      <c r="G71" s="3" t="inlineStr"/>
    </row>
    <row r="72">
      <c r="A72" t="inlineStr">
        <is>
          <t>간편장부</t>
        </is>
      </c>
      <c r="B72" t="inlineStr">
        <is>
          <t>사업자+프리</t>
        </is>
      </c>
      <c r="C72" t="inlineStr">
        <is>
          <t>G35</t>
        </is>
      </c>
      <c r="D72">
        <f>C35+F35</f>
        <v/>
      </c>
      <c r="E72" t="inlineStr">
        <is>
          <t>←접대비 / ↑=C34+F34</t>
        </is>
      </c>
      <c r="F72" s="3" t="inlineStr"/>
      <c r="G72" s="3" t="inlineStr"/>
    </row>
    <row r="73">
      <c r="A73" t="inlineStr">
        <is>
          <t>간편장부</t>
        </is>
      </c>
      <c r="B73" t="inlineStr">
        <is>
          <t>사업자+프리</t>
        </is>
      </c>
      <c r="C73" t="inlineStr">
        <is>
          <t>H35</t>
        </is>
      </c>
      <c r="D73">
        <f>IF(G35&gt;=120000000,"Error","Pass")</f>
        <v/>
      </c>
      <c r="E73" t="inlineStr">
        <is>
          <t>←=C35+F35</t>
        </is>
      </c>
      <c r="F73" s="3" t="inlineStr"/>
      <c r="G73" s="3" t="inlineStr"/>
    </row>
    <row r="74">
      <c r="A74" t="inlineStr">
        <is>
          <t>간편장부</t>
        </is>
      </c>
      <c r="B74" t="inlineStr">
        <is>
          <t>사업자+프리</t>
        </is>
      </c>
      <c r="C74" t="inlineStr">
        <is>
          <t>G36</t>
        </is>
      </c>
      <c r="D74">
        <f>C36+F36</f>
        <v/>
      </c>
      <c r="E74" t="inlineStr">
        <is>
          <t>←기부금 / ↑=C35+F35</t>
        </is>
      </c>
      <c r="F74" s="3" t="inlineStr"/>
      <c r="G74" s="3" t="inlineStr"/>
    </row>
    <row r="75">
      <c r="A75" t="inlineStr">
        <is>
          <t>간편장부</t>
        </is>
      </c>
      <c r="B75" t="inlineStr">
        <is>
          <t>사업자+프리</t>
        </is>
      </c>
      <c r="C75" t="inlineStr">
        <is>
          <t>G37</t>
        </is>
      </c>
      <c r="D75">
        <f>C37+F37</f>
        <v/>
      </c>
      <c r="E75" t="inlineStr">
        <is>
          <t>←감가상각비 / ↑=C36+F36</t>
        </is>
      </c>
      <c r="F75" s="3" t="inlineStr"/>
      <c r="G75" s="3" t="inlineStr"/>
    </row>
    <row r="76">
      <c r="A76" t="inlineStr">
        <is>
          <t>간편장부</t>
        </is>
      </c>
      <c r="B76" t="inlineStr">
        <is>
          <t>사업자+프리</t>
        </is>
      </c>
      <c r="C76" t="inlineStr">
        <is>
          <t>H37</t>
        </is>
      </c>
      <c r="D76">
        <f>IF(G37&gt;0,"차량확인","Pass")</f>
        <v/>
      </c>
      <c r="E76" t="inlineStr">
        <is>
          <t>←=C37+F37 / ↑=IF(G35&gt;=120000000,"Error","Pass")</t>
        </is>
      </c>
      <c r="F76" s="3" t="inlineStr"/>
      <c r="G76" s="3" t="inlineStr"/>
    </row>
    <row r="77">
      <c r="A77" t="inlineStr">
        <is>
          <t>간편장부</t>
        </is>
      </c>
      <c r="B77" t="inlineStr">
        <is>
          <t>사업자+프리</t>
        </is>
      </c>
      <c r="C77" t="inlineStr">
        <is>
          <t>C38</t>
        </is>
      </c>
      <c r="D77" t="inlineStr">
        <is>
          <t>0</t>
        </is>
      </c>
      <c r="E77" t="inlineStr">
        <is>
          <t>←차량유지비</t>
        </is>
      </c>
      <c r="F77" s="3" t="inlineStr"/>
      <c r="G77" s="3" t="inlineStr"/>
    </row>
    <row r="78">
      <c r="A78" t="inlineStr">
        <is>
          <t>간편장부</t>
        </is>
      </c>
      <c r="B78" t="inlineStr">
        <is>
          <t>사업자+프리</t>
        </is>
      </c>
      <c r="C78" t="inlineStr">
        <is>
          <t>G38</t>
        </is>
      </c>
      <c r="D78">
        <f>C38+F38</f>
        <v/>
      </c>
      <c r="E78" t="inlineStr">
        <is>
          <t>←차량유지비 / ↑=C37+F37</t>
        </is>
      </c>
      <c r="F78" s="3" t="inlineStr"/>
      <c r="G78" s="3" t="inlineStr"/>
    </row>
    <row r="79">
      <c r="A79" t="inlineStr">
        <is>
          <t>간편장부</t>
        </is>
      </c>
      <c r="B79" t="inlineStr">
        <is>
          <t>사업자+프리</t>
        </is>
      </c>
      <c r="C79" t="inlineStr">
        <is>
          <t>H38</t>
        </is>
      </c>
      <c r="D79">
        <f>IF(G38&gt;0,"차량확인","Pass")</f>
        <v/>
      </c>
      <c r="E79" t="inlineStr">
        <is>
          <t>←=C38+F38 / ↑=IF(G37&gt;0,"차량확인","Pass")</t>
        </is>
      </c>
      <c r="F79" s="3" t="inlineStr"/>
      <c r="G79" s="3" t="inlineStr"/>
    </row>
    <row r="80">
      <c r="A80" t="inlineStr">
        <is>
          <t>간편장부</t>
        </is>
      </c>
      <c r="B80" t="inlineStr">
        <is>
          <t>사업자+프리</t>
        </is>
      </c>
      <c r="C80" t="inlineStr">
        <is>
          <t>C39</t>
        </is>
      </c>
      <c r="D80" t="inlineStr">
        <is>
          <t>9136548</t>
        </is>
      </c>
      <c r="E80" t="inlineStr">
        <is>
          <t>←지급수수료</t>
        </is>
      </c>
      <c r="F80" s="3" t="inlineStr"/>
      <c r="G80" s="3" t="inlineStr"/>
    </row>
    <row r="81">
      <c r="A81" t="inlineStr">
        <is>
          <t>간편장부</t>
        </is>
      </c>
      <c r="B81" t="inlineStr">
        <is>
          <t>사업자+프리</t>
        </is>
      </c>
      <c r="C81" t="inlineStr">
        <is>
          <t>G39</t>
        </is>
      </c>
      <c r="D81">
        <f>C39+F39</f>
        <v/>
      </c>
      <c r="E81" t="inlineStr">
        <is>
          <t>←지급수수료 / ↑=C38+F38</t>
        </is>
      </c>
      <c r="F81" s="3" t="inlineStr"/>
      <c r="G81" s="3" t="inlineStr"/>
    </row>
    <row r="82">
      <c r="A82" t="inlineStr">
        <is>
          <t>간편장부</t>
        </is>
      </c>
      <c r="B82" t="inlineStr">
        <is>
          <t>사업자+프리</t>
        </is>
      </c>
      <c r="C82" t="inlineStr">
        <is>
          <t>C40</t>
        </is>
      </c>
      <c r="D82" t="inlineStr">
        <is>
          <t>7234695</t>
        </is>
      </c>
      <c r="E82" t="inlineStr">
        <is>
          <t>←소모품비</t>
        </is>
      </c>
      <c r="F82" s="3" t="inlineStr"/>
      <c r="G82" s="3" t="inlineStr"/>
    </row>
    <row r="83">
      <c r="A83" t="inlineStr">
        <is>
          <t>간편장부</t>
        </is>
      </c>
      <c r="B83" t="inlineStr">
        <is>
          <t>사업자+프리</t>
        </is>
      </c>
      <c r="C83" t="inlineStr">
        <is>
          <t>G40</t>
        </is>
      </c>
      <c r="D83">
        <f>C40+F40</f>
        <v/>
      </c>
      <c r="E83" t="inlineStr">
        <is>
          <t>←소모품비 / ↑=C39+F39</t>
        </is>
      </c>
      <c r="F83" s="3" t="inlineStr"/>
      <c r="G83" s="3" t="inlineStr"/>
    </row>
    <row r="84">
      <c r="A84" t="inlineStr">
        <is>
          <t>간편장부</t>
        </is>
      </c>
      <c r="B84" t="inlineStr">
        <is>
          <t>사업자+프리</t>
        </is>
      </c>
      <c r="C84" t="inlineStr">
        <is>
          <t>G41</t>
        </is>
      </c>
      <c r="D84">
        <f>C41+F41</f>
        <v/>
      </c>
      <c r="E84" t="inlineStr">
        <is>
          <t>←복리후생비 / ↑=C40+F40</t>
        </is>
      </c>
      <c r="F84" s="3" t="inlineStr"/>
      <c r="G84" s="3" t="inlineStr"/>
    </row>
    <row r="85">
      <c r="A85" t="inlineStr">
        <is>
          <t>간편장부</t>
        </is>
      </c>
      <c r="B85" t="inlineStr">
        <is>
          <t>사업자+프리</t>
        </is>
      </c>
      <c r="C85" t="inlineStr">
        <is>
          <t>G42</t>
        </is>
      </c>
      <c r="D85">
        <f>C42+F42</f>
        <v/>
      </c>
      <c r="E85" t="inlineStr">
        <is>
          <t>←운반비 / ↑=C41+F41</t>
        </is>
      </c>
      <c r="F85" s="3" t="inlineStr"/>
      <c r="G85" s="3" t="inlineStr"/>
    </row>
    <row r="86">
      <c r="A86" t="inlineStr">
        <is>
          <t>간편장부</t>
        </is>
      </c>
      <c r="B86" t="inlineStr">
        <is>
          <t>사업자+프리</t>
        </is>
      </c>
      <c r="C86" t="inlineStr">
        <is>
          <t>G43</t>
        </is>
      </c>
      <c r="D86">
        <f>C43+F43</f>
        <v/>
      </c>
      <c r="E86" t="inlineStr">
        <is>
          <t>←광고선전비 / ↑=C42+F42</t>
        </is>
      </c>
      <c r="F86" s="3" t="inlineStr"/>
      <c r="G86" s="3" t="inlineStr"/>
    </row>
    <row r="87">
      <c r="A87" t="inlineStr">
        <is>
          <t>간편장부</t>
        </is>
      </c>
      <c r="B87" t="inlineStr">
        <is>
          <t>사업자+프리</t>
        </is>
      </c>
      <c r="C87" t="inlineStr">
        <is>
          <t>C44</t>
        </is>
      </c>
      <c r="D87" t="inlineStr">
        <is>
          <t>12049564</t>
        </is>
      </c>
      <c r="E87" t="inlineStr">
        <is>
          <t>←여비교통비</t>
        </is>
      </c>
      <c r="F87" s="3" t="inlineStr"/>
      <c r="G87" s="3" t="inlineStr"/>
    </row>
    <row r="88">
      <c r="A88" t="inlineStr">
        <is>
          <t>간편장부</t>
        </is>
      </c>
      <c r="B88" t="inlineStr">
        <is>
          <t>사업자+프리</t>
        </is>
      </c>
      <c r="C88" t="inlineStr">
        <is>
          <t>G44</t>
        </is>
      </c>
      <c r="D88">
        <f>C44+F44</f>
        <v/>
      </c>
      <c r="E88" t="inlineStr">
        <is>
          <t>←여비교통비 / ↑=C43+F43</t>
        </is>
      </c>
      <c r="F88" s="3" t="inlineStr"/>
      <c r="G88" s="3" t="inlineStr"/>
    </row>
    <row r="89">
      <c r="A89" t="inlineStr">
        <is>
          <t>간편장부</t>
        </is>
      </c>
      <c r="B89" t="inlineStr">
        <is>
          <t>사업자+프리</t>
        </is>
      </c>
      <c r="C89" t="inlineStr">
        <is>
          <t>C45</t>
        </is>
      </c>
      <c r="D89" t="inlineStr">
        <is>
          <t>8765041</t>
        </is>
      </c>
      <c r="E89" t="inlineStr">
        <is>
          <t>←기타</t>
        </is>
      </c>
      <c r="F89" s="3" t="inlineStr"/>
      <c r="G89" s="3" t="inlineStr"/>
    </row>
    <row r="90">
      <c r="A90" t="inlineStr">
        <is>
          <t>간편장부</t>
        </is>
      </c>
      <c r="B90" t="inlineStr">
        <is>
          <t>사업자+프리</t>
        </is>
      </c>
      <c r="C90" t="inlineStr">
        <is>
          <t>G45</t>
        </is>
      </c>
      <c r="D90">
        <f>C45+F45</f>
        <v/>
      </c>
      <c r="E90" t="inlineStr">
        <is>
          <t>←기타 / ↑=C44+F44</t>
        </is>
      </c>
      <c r="F90" s="3" t="inlineStr"/>
      <c r="G90" s="3" t="inlineStr"/>
    </row>
    <row r="91">
      <c r="A91" t="inlineStr">
        <is>
          <t>간편장부</t>
        </is>
      </c>
      <c r="B91" t="inlineStr">
        <is>
          <t>사업자+사업자</t>
        </is>
      </c>
      <c r="C91" t="inlineStr">
        <is>
          <t>B2</t>
        </is>
      </c>
      <c r="D91" t="inlineStr">
        <is>
          <t>안정현</t>
        </is>
      </c>
      <c r="E91" t="inlineStr">
        <is>
          <t>←확인사항 / ↑노랑셀만입력</t>
        </is>
      </c>
      <c r="F91" s="3" t="inlineStr"/>
      <c r="G91" s="3" t="inlineStr"/>
    </row>
    <row r="92">
      <c r="A92" t="inlineStr">
        <is>
          <t>간편장부</t>
        </is>
      </c>
      <c r="B92" t="inlineStr">
        <is>
          <t>사업자+사업자</t>
        </is>
      </c>
      <c r="C92" t="inlineStr">
        <is>
          <t>E10</t>
        </is>
      </c>
      <c r="D92" t="inlineStr">
        <is>
          <t>58582073</t>
        </is>
      </c>
      <c r="E92" t="inlineStr">
        <is>
          <t>←해당</t>
        </is>
      </c>
      <c r="F92" s="3" t="inlineStr"/>
      <c r="G92" s="3" t="inlineStr"/>
    </row>
    <row r="93">
      <c r="A93" t="inlineStr">
        <is>
          <t>간편장부</t>
        </is>
      </c>
      <c r="B93" t="inlineStr">
        <is>
          <t>사업자+사업자</t>
        </is>
      </c>
      <c r="C93" t="inlineStr">
        <is>
          <t>F10</t>
        </is>
      </c>
      <c r="D93" t="inlineStr">
        <is>
          <t>630904</t>
        </is>
      </c>
      <c r="E93" t="inlineStr">
        <is>
          <t>←해당</t>
        </is>
      </c>
      <c r="F93" s="3" t="inlineStr"/>
      <c r="G93" s="3" t="inlineStr"/>
    </row>
    <row r="94">
      <c r="A94" t="inlineStr">
        <is>
          <t>간편장부</t>
        </is>
      </c>
      <c r="B94" t="inlineStr">
        <is>
          <t>사업자+사업자</t>
        </is>
      </c>
      <c r="C94" t="inlineStr">
        <is>
          <t>E11</t>
        </is>
      </c>
      <c r="D94" t="inlineStr">
        <is>
          <t>0</t>
        </is>
      </c>
      <c r="E94" t="inlineStr">
        <is>
          <t>←해당</t>
        </is>
      </c>
      <c r="F94" s="3" t="inlineStr"/>
      <c r="G94" s="3" t="inlineStr"/>
    </row>
    <row r="95">
      <c r="A95" t="inlineStr">
        <is>
          <t>간편장부</t>
        </is>
      </c>
      <c r="B95" t="inlineStr">
        <is>
          <t>사업자+사업자</t>
        </is>
      </c>
      <c r="C95" t="inlineStr">
        <is>
          <t>F20</t>
        </is>
      </c>
      <c r="D95" t="inlineStr">
        <is>
          <t>0</t>
        </is>
      </c>
      <c r="E95" t="inlineStr">
        <is>
          <t>←신용카드 / ↑=F20+F21</t>
        </is>
      </c>
      <c r="F95" s="3" t="inlineStr"/>
      <c r="G95" s="3" t="inlineStr"/>
    </row>
    <row r="96">
      <c r="A96" t="inlineStr">
        <is>
          <t>간편장부</t>
        </is>
      </c>
      <c r="B96" t="inlineStr">
        <is>
          <t>사업자+사업자</t>
        </is>
      </c>
      <c r="C96" t="inlineStr">
        <is>
          <t>C30</t>
        </is>
      </c>
      <c r="D96">
        <f>28877397+27174306</f>
        <v/>
      </c>
      <c r="E96" t="inlineStr">
        <is>
          <t>←당기매입액 / ↑=C18-C24</t>
        </is>
      </c>
      <c r="F96" s="3" t="inlineStr"/>
      <c r="G96" s="3" t="inlineStr"/>
    </row>
    <row r="97">
      <c r="A97" t="inlineStr">
        <is>
          <t>간편장부</t>
        </is>
      </c>
      <c r="B97" t="inlineStr">
        <is>
          <t>사업자+사업자</t>
        </is>
      </c>
      <c r="C97" t="inlineStr">
        <is>
          <t>G30</t>
        </is>
      </c>
      <c r="D97">
        <f>C30+F30</f>
        <v/>
      </c>
      <c r="E97" t="inlineStr">
        <is>
          <t>←급여</t>
        </is>
      </c>
      <c r="F97" s="3" t="inlineStr"/>
      <c r="G97" s="3" t="inlineStr"/>
    </row>
    <row r="98">
      <c r="A98" t="inlineStr">
        <is>
          <t>간편장부</t>
        </is>
      </c>
      <c r="B98" t="inlineStr">
        <is>
          <t>사업자+사업자</t>
        </is>
      </c>
      <c r="C98" t="inlineStr">
        <is>
          <t>G31</t>
        </is>
      </c>
      <c r="D98">
        <f>C31+F31</f>
        <v/>
      </c>
      <c r="E98" t="inlineStr">
        <is>
          <t>←급여 / ↑=C30+F30</t>
        </is>
      </c>
      <c r="F98" s="3" t="inlineStr"/>
      <c r="G98" s="3" t="inlineStr"/>
    </row>
    <row r="99">
      <c r="A99" t="inlineStr">
        <is>
          <t>간편장부</t>
        </is>
      </c>
      <c r="B99" t="inlineStr">
        <is>
          <t>사업자+사업자</t>
        </is>
      </c>
      <c r="C99" t="inlineStr">
        <is>
          <t>G32</t>
        </is>
      </c>
      <c r="D99">
        <f>C32+F32</f>
        <v/>
      </c>
      <c r="E99" t="inlineStr">
        <is>
          <t>←제세공과금 / ↑=C31+F31</t>
        </is>
      </c>
      <c r="F99" s="3" t="inlineStr"/>
      <c r="G99" s="3" t="inlineStr"/>
    </row>
    <row r="100">
      <c r="A100" t="inlineStr">
        <is>
          <t>간편장부</t>
        </is>
      </c>
      <c r="B100" t="inlineStr">
        <is>
          <t>사업자+사업자</t>
        </is>
      </c>
      <c r="C100" t="inlineStr">
        <is>
          <t>C33</t>
        </is>
      </c>
      <c r="D100" t="inlineStr">
        <is>
          <t>0</t>
        </is>
      </c>
      <c r="E100" t="inlineStr">
        <is>
          <t>←임차료 / ↑=28877397+27174306</t>
        </is>
      </c>
      <c r="F100" s="3" t="inlineStr"/>
      <c r="G100" s="3" t="inlineStr"/>
    </row>
    <row r="101">
      <c r="A101" t="inlineStr">
        <is>
          <t>간편장부</t>
        </is>
      </c>
      <c r="B101" t="inlineStr">
        <is>
          <t>사업자+사업자</t>
        </is>
      </c>
      <c r="C101" t="inlineStr">
        <is>
          <t>G33</t>
        </is>
      </c>
      <c r="D101">
        <f>C33+F33</f>
        <v/>
      </c>
      <c r="E101" t="inlineStr">
        <is>
          <t>←임차료 / ↑=C32+F32</t>
        </is>
      </c>
      <c r="F101" s="3" t="inlineStr"/>
      <c r="G101" s="3" t="inlineStr"/>
    </row>
    <row r="102">
      <c r="A102" t="inlineStr">
        <is>
          <t>간편장부</t>
        </is>
      </c>
      <c r="B102" t="inlineStr">
        <is>
          <t>사업자+사업자</t>
        </is>
      </c>
      <c r="C102" t="inlineStr">
        <is>
          <t>G34</t>
        </is>
      </c>
      <c r="D102">
        <f>C34+F34</f>
        <v/>
      </c>
      <c r="E102" t="inlineStr">
        <is>
          <t>←지급이자 / ↑=C33+F33</t>
        </is>
      </c>
      <c r="F102" s="3" t="inlineStr"/>
      <c r="G102" s="3" t="inlineStr"/>
    </row>
    <row r="103">
      <c r="A103" t="inlineStr">
        <is>
          <t>간편장부</t>
        </is>
      </c>
      <c r="B103" t="inlineStr">
        <is>
          <t>사업자+사업자</t>
        </is>
      </c>
      <c r="C103" t="inlineStr">
        <is>
          <t>G35</t>
        </is>
      </c>
      <c r="D103">
        <f>C35+F35</f>
        <v/>
      </c>
      <c r="E103" t="inlineStr">
        <is>
          <t>←접대비 / ↑=C34+F34</t>
        </is>
      </c>
      <c r="F103" s="3" t="inlineStr"/>
      <c r="G103" s="3" t="inlineStr"/>
    </row>
    <row r="104">
      <c r="A104" t="inlineStr">
        <is>
          <t>간편장부</t>
        </is>
      </c>
      <c r="B104" t="inlineStr">
        <is>
          <t>사업자+사업자</t>
        </is>
      </c>
      <c r="C104" t="inlineStr">
        <is>
          <t>H35</t>
        </is>
      </c>
      <c r="D104">
        <f>IF(G35&gt;=120000000,"Error","Pass")</f>
        <v/>
      </c>
      <c r="E104" t="inlineStr">
        <is>
          <t>←=C35+F35</t>
        </is>
      </c>
      <c r="F104" s="3" t="inlineStr"/>
      <c r="G104" s="3" t="inlineStr"/>
    </row>
    <row r="105">
      <c r="A105" t="inlineStr">
        <is>
          <t>간편장부</t>
        </is>
      </c>
      <c r="B105" t="inlineStr">
        <is>
          <t>사업자+사업자</t>
        </is>
      </c>
      <c r="C105" t="inlineStr">
        <is>
          <t>G36</t>
        </is>
      </c>
      <c r="D105">
        <f>C36+F36</f>
        <v/>
      </c>
      <c r="E105" t="inlineStr">
        <is>
          <t>←기부금 / ↑=C35+F35</t>
        </is>
      </c>
      <c r="F105" s="3" t="inlineStr"/>
      <c r="G105" s="3" t="inlineStr"/>
    </row>
    <row r="106">
      <c r="A106" t="inlineStr">
        <is>
          <t>간편장부</t>
        </is>
      </c>
      <c r="B106" t="inlineStr">
        <is>
          <t>사업자+사업자</t>
        </is>
      </c>
      <c r="C106" t="inlineStr">
        <is>
          <t>G37</t>
        </is>
      </c>
      <c r="D106">
        <f>C37+F37</f>
        <v/>
      </c>
      <c r="E106" t="inlineStr">
        <is>
          <t>←감가상각비 / ↑=C36+F36</t>
        </is>
      </c>
      <c r="F106" s="3" t="inlineStr"/>
      <c r="G106" s="3" t="inlineStr"/>
    </row>
    <row r="107">
      <c r="A107" t="inlineStr">
        <is>
          <t>간편장부</t>
        </is>
      </c>
      <c r="B107" t="inlineStr">
        <is>
          <t>사업자+사업자</t>
        </is>
      </c>
      <c r="C107" t="inlineStr">
        <is>
          <t>G38</t>
        </is>
      </c>
      <c r="D107">
        <f>C38+F38</f>
        <v/>
      </c>
      <c r="E107" t="inlineStr">
        <is>
          <t>←차량유지비 / ↑=C37+F37</t>
        </is>
      </c>
      <c r="F107" s="3" t="inlineStr"/>
      <c r="G107" s="3" t="inlineStr"/>
    </row>
    <row r="108">
      <c r="A108" t="inlineStr">
        <is>
          <t>간편장부</t>
        </is>
      </c>
      <c r="B108" t="inlineStr">
        <is>
          <t>사업자+사업자</t>
        </is>
      </c>
      <c r="C108" t="inlineStr">
        <is>
          <t>G39</t>
        </is>
      </c>
      <c r="D108">
        <f>C39+F39</f>
        <v/>
      </c>
      <c r="E108" t="inlineStr">
        <is>
          <t>←지급수수료 / ↑=C38+F38</t>
        </is>
      </c>
      <c r="F108" s="3" t="inlineStr"/>
      <c r="G108" s="3" t="inlineStr"/>
    </row>
    <row r="109">
      <c r="A109" t="inlineStr">
        <is>
          <t>간편장부</t>
        </is>
      </c>
      <c r="B109" t="inlineStr">
        <is>
          <t>사업자+사업자</t>
        </is>
      </c>
      <c r="C109" t="inlineStr">
        <is>
          <t>G40</t>
        </is>
      </c>
      <c r="D109">
        <f>C40+F40</f>
        <v/>
      </c>
      <c r="E109" t="inlineStr">
        <is>
          <t>←소모품비 / ↑=C39+F39</t>
        </is>
      </c>
      <c r="F109" s="3" t="inlineStr"/>
      <c r="G109" s="3" t="inlineStr"/>
    </row>
    <row r="110">
      <c r="A110" t="inlineStr">
        <is>
          <t>간편장부</t>
        </is>
      </c>
      <c r="B110" t="inlineStr">
        <is>
          <t>사업자+사업자</t>
        </is>
      </c>
      <c r="C110" t="inlineStr">
        <is>
          <t>G41</t>
        </is>
      </c>
      <c r="D110">
        <f>C41+F41</f>
        <v/>
      </c>
      <c r="E110" t="inlineStr">
        <is>
          <t>←복리후생비 / ↑=C40+F40</t>
        </is>
      </c>
      <c r="F110" s="3" t="inlineStr"/>
      <c r="G110" s="3" t="inlineStr"/>
    </row>
    <row r="111">
      <c r="A111" t="inlineStr">
        <is>
          <t>간편장부</t>
        </is>
      </c>
      <c r="B111" t="inlineStr">
        <is>
          <t>사업자+사업자</t>
        </is>
      </c>
      <c r="C111" t="inlineStr">
        <is>
          <t>G42</t>
        </is>
      </c>
      <c r="D111">
        <f>C42+F42</f>
        <v/>
      </c>
      <c r="E111" t="inlineStr">
        <is>
          <t>←운반비 / ↑=C41+F41</t>
        </is>
      </c>
      <c r="F111" s="3" t="inlineStr"/>
      <c r="G111" s="3" t="inlineStr"/>
    </row>
    <row r="112">
      <c r="A112" t="inlineStr">
        <is>
          <t>간편장부</t>
        </is>
      </c>
      <c r="B112" t="inlineStr">
        <is>
          <t>사업자+사업자</t>
        </is>
      </c>
      <c r="C112" t="inlineStr">
        <is>
          <t>G43</t>
        </is>
      </c>
      <c r="D112">
        <f>C43+F43</f>
        <v/>
      </c>
      <c r="E112" t="inlineStr">
        <is>
          <t>←광고선전비 / ↑=C42+F42</t>
        </is>
      </c>
      <c r="F112" s="3" t="inlineStr"/>
      <c r="G112" s="3" t="inlineStr"/>
    </row>
    <row r="113">
      <c r="A113" t="inlineStr">
        <is>
          <t>간편장부</t>
        </is>
      </c>
      <c r="B113" t="inlineStr">
        <is>
          <t>사업자+사업자</t>
        </is>
      </c>
      <c r="C113" t="inlineStr">
        <is>
          <t>G44</t>
        </is>
      </c>
      <c r="D113">
        <f>C44+F44</f>
        <v/>
      </c>
      <c r="E113" t="inlineStr">
        <is>
          <t>←여비교통비 / ↑=C43+F43</t>
        </is>
      </c>
      <c r="F113" s="3" t="inlineStr"/>
      <c r="G113" s="3" t="inlineStr"/>
    </row>
    <row r="114">
      <c r="A114" t="inlineStr">
        <is>
          <t>간편장부</t>
        </is>
      </c>
      <c r="B114" t="inlineStr">
        <is>
          <t>사업자+사업자</t>
        </is>
      </c>
      <c r="C114" t="inlineStr">
        <is>
          <t>G45</t>
        </is>
      </c>
      <c r="D114">
        <f>C45+F45</f>
        <v/>
      </c>
      <c r="E114" t="inlineStr">
        <is>
          <t>←기타 / ↑=C44+F44</t>
        </is>
      </c>
      <c r="F114" s="3" t="inlineStr"/>
      <c r="G114" s="3" t="inlineStr"/>
    </row>
    <row r="115">
      <c r="A115" t="inlineStr">
        <is>
          <t>복식부기</t>
        </is>
      </c>
      <c r="B115" t="inlineStr">
        <is>
          <t>기본</t>
        </is>
      </c>
      <c r="C115" t="inlineStr">
        <is>
          <t>D3</t>
        </is>
      </c>
      <c r="D115" t="inlineStr">
        <is>
          <t>최인경(디아와이시스템)</t>
        </is>
      </c>
      <c r="E115" t="inlineStr">
        <is>
          <t>←상호(성명) / ↑간편장부</t>
        </is>
      </c>
      <c r="F115" s="3" t="inlineStr"/>
      <c r="G115" s="3" t="inlineStr"/>
    </row>
    <row r="116">
      <c r="A116" t="inlineStr">
        <is>
          <t>복식부기</t>
        </is>
      </c>
      <c r="B116" t="inlineStr">
        <is>
          <t>기본</t>
        </is>
      </c>
      <c r="C116" t="inlineStr">
        <is>
          <t>D4</t>
        </is>
      </c>
      <c r="D116" t="inlineStr">
        <is>
          <t>519992</t>
        </is>
      </c>
      <c r="E116" t="inlineStr">
        <is>
          <t>←=VLOOKUP(D4,'2022귀속업종코드'!$A$1:$I$1533,5,FALSE) / ↑최인경(디아와이시스템)</t>
        </is>
      </c>
      <c r="F116" s="3" t="inlineStr"/>
      <c r="G116" s="3" t="inlineStr"/>
    </row>
    <row r="117">
      <c r="A117" t="inlineStr">
        <is>
          <t>복식부기</t>
        </is>
      </c>
      <c r="B117" t="inlineStr">
        <is>
          <t>기본</t>
        </is>
      </c>
      <c r="C117" t="inlineStr">
        <is>
          <t>D5</t>
        </is>
      </c>
      <c r="D117" t="inlineStr">
        <is>
          <t>417937500</t>
        </is>
      </c>
      <c r="E117" t="inlineStr">
        <is>
          <t>←수입금액 / ↑최인경(디아와이시스템)</t>
        </is>
      </c>
      <c r="F117" s="3" t="inlineStr"/>
      <c r="G117" s="3" t="inlineStr"/>
    </row>
    <row r="118">
      <c r="A118" t="inlineStr">
        <is>
          <t>복식부기</t>
        </is>
      </c>
      <c r="B118" t="inlineStr">
        <is>
          <t>기본</t>
        </is>
      </c>
      <c r="C118" t="inlineStr">
        <is>
          <t>D7</t>
        </is>
      </c>
      <c r="D118" t="inlineStr">
        <is>
          <t>281303528</t>
        </is>
      </c>
      <c r="E118" t="inlineStr">
        <is>
          <t>←매출원가 / ↑=SUM(D7:D14)</t>
        </is>
      </c>
      <c r="F118" s="3" t="inlineStr"/>
      <c r="G118" s="3" t="inlineStr"/>
    </row>
    <row r="119">
      <c r="A119" t="inlineStr">
        <is>
          <t>복식부기</t>
        </is>
      </c>
      <c r="B119" t="inlineStr">
        <is>
          <t>기본</t>
        </is>
      </c>
      <c r="C119" t="inlineStr">
        <is>
          <t>D11</t>
        </is>
      </c>
      <c r="D119" t="inlineStr">
        <is>
          <t>0</t>
        </is>
      </c>
      <c r="E119" t="inlineStr">
        <is>
          <t>←감가상각비</t>
        </is>
      </c>
      <c r="F119" s="3" t="inlineStr"/>
      <c r="G119" s="3" t="inlineStr"/>
    </row>
    <row r="120">
      <c r="A120" t="inlineStr">
        <is>
          <t>복식부기</t>
        </is>
      </c>
      <c r="B120" t="inlineStr">
        <is>
          <t>기본</t>
        </is>
      </c>
      <c r="C120" t="inlineStr">
        <is>
          <t>D12</t>
        </is>
      </c>
      <c r="D120" t="inlineStr">
        <is>
          <t>0</t>
        </is>
      </c>
      <c r="E120" t="inlineStr">
        <is>
          <t>←원천세 신고서</t>
        </is>
      </c>
      <c r="F120" s="3" t="inlineStr"/>
      <c r="G120" s="3" t="inlineStr"/>
    </row>
    <row r="121">
      <c r="A121" t="inlineStr">
        <is>
          <t>복식부기</t>
        </is>
      </c>
      <c r="B121" t="inlineStr">
        <is>
          <t>기본</t>
        </is>
      </c>
      <c r="C121" t="inlineStr">
        <is>
          <t>D19</t>
        </is>
      </c>
      <c r="D121" t="inlineStr">
        <is>
          <t>0</t>
        </is>
      </c>
      <c r="E121" t="inlineStr">
        <is>
          <t>←근로소득금액 / ↑=1-J4</t>
        </is>
      </c>
      <c r="F121" s="3" t="inlineStr"/>
      <c r="G121" s="3" t="inlineStr"/>
    </row>
    <row r="122">
      <c r="A122" t="inlineStr">
        <is>
          <t>복식부기</t>
        </is>
      </c>
      <c r="B122" t="inlineStr">
        <is>
          <t>기본</t>
        </is>
      </c>
      <c r="C122" t="inlineStr">
        <is>
          <t>D20</t>
        </is>
      </c>
      <c r="D122" t="inlineStr">
        <is>
          <t>0</t>
        </is>
      </c>
      <c r="E122" t="inlineStr">
        <is>
          <t>←이월결손금 / ↑=1-J4</t>
        </is>
      </c>
      <c r="F122" s="3" t="inlineStr"/>
      <c r="G122" s="3" t="inlineStr"/>
    </row>
    <row r="123">
      <c r="A123" t="inlineStr">
        <is>
          <t>복식부기</t>
        </is>
      </c>
      <c r="B123" t="inlineStr">
        <is>
          <t>기본</t>
        </is>
      </c>
      <c r="C123" t="inlineStr">
        <is>
          <t>U24</t>
        </is>
      </c>
      <c r="D123" t="inlineStr">
        <is>
          <t>지급처별지급금액</t>
        </is>
      </c>
      <c r="E123" t="inlineStr">
        <is>
          <t>↑원천징수영수증 입력</t>
        </is>
      </c>
      <c r="F123" s="3" t="inlineStr"/>
      <c r="G123" s="3" t="inlineStr"/>
    </row>
    <row r="124">
      <c r="A124" t="inlineStr">
        <is>
          <t>복식부기</t>
        </is>
      </c>
      <c r="B124" t="inlineStr">
        <is>
          <t>기본</t>
        </is>
      </c>
      <c r="C124" t="inlineStr">
        <is>
          <t>V24</t>
        </is>
      </c>
      <c r="D124" t="inlineStr">
        <is>
          <t>소득세</t>
        </is>
      </c>
      <c r="E124" t="inlineStr">
        <is>
          <t>←지급처별지급금액</t>
        </is>
      </c>
      <c r="F124" s="3" t="inlineStr"/>
      <c r="G124" s="3" t="inlineStr"/>
    </row>
    <row r="125">
      <c r="A125" t="inlineStr">
        <is>
          <t>복식부기</t>
        </is>
      </c>
      <c r="B125" t="inlineStr">
        <is>
          <t>기본</t>
        </is>
      </c>
      <c r="C125" t="inlineStr">
        <is>
          <t>W24</t>
        </is>
      </c>
      <c r="D125" t="inlineStr">
        <is>
          <t>지방세</t>
        </is>
      </c>
      <c r="E125" t="inlineStr">
        <is>
          <t>←소득세</t>
        </is>
      </c>
      <c r="F125" s="3" t="inlineStr"/>
      <c r="G125" s="3" t="inlineStr"/>
    </row>
    <row r="126">
      <c r="A126" t="inlineStr">
        <is>
          <t>복식부기</t>
        </is>
      </c>
      <c r="B126" t="inlineStr">
        <is>
          <t>기본</t>
        </is>
      </c>
      <c r="C126" t="inlineStr">
        <is>
          <t>X24</t>
        </is>
      </c>
      <c r="D126" t="inlineStr">
        <is>
          <t>기납부세액(소득세)</t>
        </is>
      </c>
      <c r="E126" t="inlineStr">
        <is>
          <t>←지방세 / ↑소득세신고서 입력</t>
        </is>
      </c>
      <c r="F126" s="3" t="inlineStr"/>
      <c r="G126" s="3" t="inlineStr"/>
    </row>
    <row r="127">
      <c r="A127" t="inlineStr">
        <is>
          <t>복식부기</t>
        </is>
      </c>
      <c r="B127" t="inlineStr">
        <is>
          <t>기본</t>
        </is>
      </c>
      <c r="C127" t="inlineStr">
        <is>
          <t>Y24</t>
        </is>
      </c>
      <c r="D127" t="inlineStr">
        <is>
          <t>기납부세액(지방세)</t>
        </is>
      </c>
      <c r="E127" t="inlineStr">
        <is>
          <t>←기납부세액(소득세)</t>
        </is>
      </c>
      <c r="F127" s="3" t="inlineStr"/>
      <c r="G127" s="3" t="inlineStr"/>
    </row>
    <row r="128">
      <c r="A128" t="inlineStr">
        <is>
          <t>복식부기</t>
        </is>
      </c>
      <c r="B128" t="inlineStr">
        <is>
          <t>기본</t>
        </is>
      </c>
      <c r="C128" t="inlineStr">
        <is>
          <t>U25</t>
        </is>
      </c>
      <c r="D128" t="inlineStr">
        <is>
          <t>3949933</t>
        </is>
      </c>
      <c r="E128" t="inlineStr">
        <is>
          <t>↑지급처별지급금액</t>
        </is>
      </c>
      <c r="F128" s="3" t="inlineStr"/>
      <c r="G128" s="3" t="inlineStr"/>
    </row>
    <row r="129">
      <c r="A129" t="inlineStr">
        <is>
          <t>복식부기</t>
        </is>
      </c>
      <c r="B129" t="inlineStr">
        <is>
          <t>기본</t>
        </is>
      </c>
      <c r="C129" t="inlineStr">
        <is>
          <t>V25</t>
        </is>
      </c>
      <c r="D129" t="inlineStr">
        <is>
          <t>118450</t>
        </is>
      </c>
      <c r="E129" t="inlineStr">
        <is>
          <t>↑소득세</t>
        </is>
      </c>
      <c r="F129" s="3" t="inlineStr"/>
      <c r="G129" s="3" t="inlineStr"/>
    </row>
    <row r="130">
      <c r="A130" t="inlineStr">
        <is>
          <t>복식부기</t>
        </is>
      </c>
      <c r="B130" t="inlineStr">
        <is>
          <t>기본</t>
        </is>
      </c>
      <c r="C130" t="inlineStr">
        <is>
          <t>W25</t>
        </is>
      </c>
      <c r="D130" t="inlineStr">
        <is>
          <t>11780</t>
        </is>
      </c>
      <c r="E130" t="inlineStr">
        <is>
          <t>↑지방세</t>
        </is>
      </c>
      <c r="F130" s="3" t="inlineStr"/>
      <c r="G130" s="3" t="inlineStr"/>
    </row>
    <row r="131">
      <c r="A131" t="inlineStr">
        <is>
          <t>복식부기</t>
        </is>
      </c>
      <c r="B131" t="inlineStr">
        <is>
          <t>기본</t>
        </is>
      </c>
      <c r="C131" t="inlineStr">
        <is>
          <t>X25</t>
        </is>
      </c>
      <c r="D131">
        <f>2172180+5604924</f>
        <v/>
      </c>
      <c r="E131" t="inlineStr">
        <is>
          <t>↑기납부세액(소득세)</t>
        </is>
      </c>
      <c r="F131" s="3" t="inlineStr"/>
      <c r="G131" s="3" t="inlineStr"/>
    </row>
    <row r="132">
      <c r="A132" t="inlineStr">
        <is>
          <t>복식부기</t>
        </is>
      </c>
      <c r="B132" t="inlineStr">
        <is>
          <t>기본</t>
        </is>
      </c>
      <c r="C132" t="inlineStr">
        <is>
          <t>Y25</t>
        </is>
      </c>
      <c r="D132" t="inlineStr">
        <is>
          <t>0</t>
        </is>
      </c>
      <c r="E132" t="inlineStr">
        <is>
          <t>←=2172180+5604924 / ↑기납부세액(지방세)</t>
        </is>
      </c>
      <c r="F132" s="3" t="inlineStr"/>
      <c r="G132" s="3" t="inlineStr"/>
    </row>
    <row r="133">
      <c r="A133" t="inlineStr">
        <is>
          <t>복식부기</t>
        </is>
      </c>
      <c r="B133" t="inlineStr">
        <is>
          <t>기본</t>
        </is>
      </c>
      <c r="C133" t="inlineStr">
        <is>
          <t>C26</t>
        </is>
      </c>
      <c r="D133" t="inlineStr">
        <is>
          <t>1</t>
        </is>
      </c>
      <c r="E133" t="inlineStr">
        <is>
          <t>←본인</t>
        </is>
      </c>
      <c r="F133" s="3" t="inlineStr"/>
      <c r="G133" s="3" t="inlineStr"/>
    </row>
    <row r="134">
      <c r="A134" t="inlineStr">
        <is>
          <t>복식부기</t>
        </is>
      </c>
      <c r="B134" t="inlineStr">
        <is>
          <t>기본</t>
        </is>
      </c>
      <c r="C134" t="inlineStr">
        <is>
          <t>U26</t>
        </is>
      </c>
      <c r="D134" t="inlineStr">
        <is>
          <t>42348589</t>
        </is>
      </c>
      <c r="E134" t="inlineStr">
        <is>
          <t>↑지급처별지급금액</t>
        </is>
      </c>
      <c r="F134" s="3" t="inlineStr"/>
      <c r="G134" s="3" t="inlineStr"/>
    </row>
    <row r="135">
      <c r="A135" t="inlineStr">
        <is>
          <t>복식부기</t>
        </is>
      </c>
      <c r="B135" t="inlineStr">
        <is>
          <t>기본</t>
        </is>
      </c>
      <c r="C135" t="inlineStr">
        <is>
          <t>V26</t>
        </is>
      </c>
      <c r="D135" t="inlineStr">
        <is>
          <t>1270410</t>
        </is>
      </c>
      <c r="E135" t="inlineStr">
        <is>
          <t>↑소득세</t>
        </is>
      </c>
      <c r="F135" s="3" t="inlineStr"/>
      <c r="G135" s="3" t="inlineStr"/>
    </row>
    <row r="136">
      <c r="A136" t="inlineStr">
        <is>
          <t>복식부기</t>
        </is>
      </c>
      <c r="B136" t="inlineStr">
        <is>
          <t>기본</t>
        </is>
      </c>
      <c r="C136" t="inlineStr">
        <is>
          <t>W26</t>
        </is>
      </c>
      <c r="D136" t="inlineStr">
        <is>
          <t>126980</t>
        </is>
      </c>
      <c r="E136" t="inlineStr">
        <is>
          <t>↑지방세</t>
        </is>
      </c>
      <c r="F136" s="3" t="inlineStr"/>
      <c r="G136" s="3" t="inlineStr"/>
    </row>
    <row r="137">
      <c r="A137" t="inlineStr">
        <is>
          <t>복식부기</t>
        </is>
      </c>
      <c r="B137" t="inlineStr">
        <is>
          <t>기본</t>
        </is>
      </c>
      <c r="C137" t="inlineStr">
        <is>
          <t>C27</t>
        </is>
      </c>
      <c r="D137" t="inlineStr">
        <is>
          <t>0</t>
        </is>
      </c>
      <c r="E137" t="inlineStr">
        <is>
          <t>←배우자</t>
        </is>
      </c>
      <c r="F137" s="3" t="inlineStr"/>
      <c r="G137" s="3" t="inlineStr"/>
    </row>
    <row r="138">
      <c r="A138" t="inlineStr">
        <is>
          <t>복식부기</t>
        </is>
      </c>
      <c r="B138" t="inlineStr">
        <is>
          <t>기본</t>
        </is>
      </c>
      <c r="C138" t="inlineStr">
        <is>
          <t>U27</t>
        </is>
      </c>
      <c r="D138" t="inlineStr">
        <is>
          <t>15000000</t>
        </is>
      </c>
      <c r="E138" t="inlineStr">
        <is>
          <t>↑지급처별지급금액</t>
        </is>
      </c>
      <c r="F138" s="3" t="inlineStr"/>
      <c r="G138" s="3" t="inlineStr"/>
    </row>
    <row r="139">
      <c r="A139" t="inlineStr">
        <is>
          <t>복식부기</t>
        </is>
      </c>
      <c r="B139" t="inlineStr">
        <is>
          <t>기본</t>
        </is>
      </c>
      <c r="C139" t="inlineStr">
        <is>
          <t>V27</t>
        </is>
      </c>
      <c r="D139" t="inlineStr">
        <is>
          <t>450000</t>
        </is>
      </c>
      <c r="E139" t="inlineStr">
        <is>
          <t>↑소득세</t>
        </is>
      </c>
      <c r="F139" s="3" t="inlineStr"/>
      <c r="G139" s="3" t="inlineStr"/>
    </row>
    <row r="140">
      <c r="A140" t="inlineStr">
        <is>
          <t>복식부기</t>
        </is>
      </c>
      <c r="B140" t="inlineStr">
        <is>
          <t>기본</t>
        </is>
      </c>
      <c r="C140" t="inlineStr">
        <is>
          <t>W27</t>
        </is>
      </c>
      <c r="D140" t="inlineStr">
        <is>
          <t>45000</t>
        </is>
      </c>
      <c r="E140" t="inlineStr">
        <is>
          <t>↑지방세</t>
        </is>
      </c>
      <c r="F140" s="3" t="inlineStr"/>
      <c r="G140" s="3" t="inlineStr"/>
    </row>
    <row r="141">
      <c r="A141" t="inlineStr">
        <is>
          <t>복식부기</t>
        </is>
      </c>
      <c r="B141" t="inlineStr">
        <is>
          <t>기본</t>
        </is>
      </c>
      <c r="C141" t="inlineStr">
        <is>
          <t>C28</t>
        </is>
      </c>
      <c r="D141" t="inlineStr">
        <is>
          <t>0</t>
        </is>
      </c>
      <c r="E141" t="inlineStr">
        <is>
          <t>←자녀</t>
        </is>
      </c>
      <c r="F141" s="3" t="inlineStr"/>
      <c r="G141" s="3" t="inlineStr"/>
    </row>
    <row r="142">
      <c r="A142" t="inlineStr">
        <is>
          <t>복식부기</t>
        </is>
      </c>
      <c r="B142" t="inlineStr">
        <is>
          <t>기본</t>
        </is>
      </c>
      <c r="C142" t="inlineStr">
        <is>
          <t>U28</t>
        </is>
      </c>
      <c r="D142" t="inlineStr">
        <is>
          <t>11112050</t>
        </is>
      </c>
      <c r="E142" t="inlineStr">
        <is>
          <t>(라벨 없음)</t>
        </is>
      </c>
      <c r="F142" s="3" t="inlineStr"/>
      <c r="G142" s="3" t="inlineStr"/>
    </row>
    <row r="143">
      <c r="A143" t="inlineStr">
        <is>
          <t>복식부기</t>
        </is>
      </c>
      <c r="B143" t="inlineStr">
        <is>
          <t>기본</t>
        </is>
      </c>
      <c r="C143" t="inlineStr">
        <is>
          <t>V28</t>
        </is>
      </c>
      <c r="D143" t="inlineStr">
        <is>
          <t>333320</t>
        </is>
      </c>
      <c r="E143" t="inlineStr">
        <is>
          <t>(라벨 없음)</t>
        </is>
      </c>
      <c r="F143" s="3" t="inlineStr"/>
      <c r="G143" s="3" t="inlineStr"/>
    </row>
    <row r="144">
      <c r="A144" t="inlineStr">
        <is>
          <t>복식부기</t>
        </is>
      </c>
      <c r="B144" t="inlineStr">
        <is>
          <t>기본</t>
        </is>
      </c>
      <c r="C144" t="inlineStr">
        <is>
          <t>W28</t>
        </is>
      </c>
      <c r="D144" t="inlineStr">
        <is>
          <t>33300</t>
        </is>
      </c>
      <c r="E144" t="inlineStr">
        <is>
          <t>(라벨 없음)</t>
        </is>
      </c>
      <c r="F144" s="3" t="inlineStr"/>
      <c r="G144" s="3" t="inlineStr"/>
    </row>
    <row r="145">
      <c r="A145" t="inlineStr">
        <is>
          <t>복식부기</t>
        </is>
      </c>
      <c r="B145" t="inlineStr">
        <is>
          <t>기본</t>
        </is>
      </c>
      <c r="C145" t="inlineStr">
        <is>
          <t>C29</t>
        </is>
      </c>
      <c r="D145" t="inlineStr">
        <is>
          <t>0</t>
        </is>
      </c>
      <c r="E145" t="inlineStr">
        <is>
          <t>←부모님</t>
        </is>
      </c>
      <c r="F145" s="3" t="inlineStr"/>
      <c r="G145" s="3" t="inlineStr"/>
    </row>
    <row r="146">
      <c r="A146" t="inlineStr">
        <is>
          <t>복식부기</t>
        </is>
      </c>
      <c r="B146" t="inlineStr">
        <is>
          <t>기본</t>
        </is>
      </c>
      <c r="C146" t="inlineStr">
        <is>
          <t>V30</t>
        </is>
      </c>
      <c r="D146" t="inlineStr">
        <is>
          <t>5604924</t>
        </is>
      </c>
      <c r="E146" t="inlineStr">
        <is>
          <t>(라벨 없음)</t>
        </is>
      </c>
      <c r="F146" s="3" t="inlineStr"/>
      <c r="G146" s="3" t="inlineStr"/>
    </row>
    <row r="147">
      <c r="A147" t="inlineStr">
        <is>
          <t>복식부기</t>
        </is>
      </c>
      <c r="B147" t="inlineStr">
        <is>
          <t>기본</t>
        </is>
      </c>
      <c r="C147" t="inlineStr">
        <is>
          <t>W30</t>
        </is>
      </c>
      <c r="D147" t="inlineStr">
        <is>
          <t>560492</t>
        </is>
      </c>
      <c r="E147" t="inlineStr">
        <is>
          <t>(라벨 없음)</t>
        </is>
      </c>
      <c r="F147" s="3" t="inlineStr"/>
      <c r="G147" s="3" t="inlineStr"/>
    </row>
    <row r="148">
      <c r="A148" t="inlineStr">
        <is>
          <t>복식부기</t>
        </is>
      </c>
      <c r="B148" t="inlineStr">
        <is>
          <t>기본</t>
        </is>
      </c>
      <c r="C148" t="inlineStr">
        <is>
          <t>C31</t>
        </is>
      </c>
      <c r="D148" t="inlineStr">
        <is>
          <t>0</t>
        </is>
      </c>
      <c r="E148" t="inlineStr">
        <is>
          <t>←경로우대자</t>
        </is>
      </c>
      <c r="F148" s="3" t="inlineStr"/>
      <c r="G148" s="3" t="inlineStr"/>
    </row>
    <row r="149">
      <c r="A149" t="inlineStr">
        <is>
          <t>복식부기</t>
        </is>
      </c>
      <c r="B149" t="inlineStr">
        <is>
          <t>기본</t>
        </is>
      </c>
      <c r="C149" t="inlineStr">
        <is>
          <t>D35</t>
        </is>
      </c>
      <c r="D149">
        <f>2772900+3062660+2632200</f>
        <v/>
      </c>
      <c r="E149" t="inlineStr">
        <is>
          <t>←기타소득공제 / ↑=B34*C34</t>
        </is>
      </c>
      <c r="F149" s="3" t="inlineStr"/>
      <c r="G149" s="3" t="inlineStr"/>
    </row>
    <row r="150">
      <c r="A150" t="inlineStr">
        <is>
          <t>복식부기</t>
        </is>
      </c>
      <c r="B150" t="inlineStr">
        <is>
          <t>기본</t>
        </is>
      </c>
      <c r="C150" t="inlineStr">
        <is>
          <t>C42</t>
        </is>
      </c>
      <c r="D150" t="inlineStr">
        <is>
          <t>0</t>
        </is>
      </c>
      <c r="E150" t="inlineStr">
        <is>
          <t>←자녀공제(7세이상)</t>
        </is>
      </c>
      <c r="F150" s="3" t="inlineStr"/>
      <c r="G150" s="3" t="inlineStr"/>
    </row>
    <row r="151">
      <c r="A151" t="inlineStr">
        <is>
          <t>복식부기</t>
        </is>
      </c>
      <c r="B151" t="inlineStr">
        <is>
          <t>기본</t>
        </is>
      </c>
      <c r="C151" t="inlineStr">
        <is>
          <t>C43</t>
        </is>
      </c>
      <c r="D151" t="inlineStr">
        <is>
          <t>0</t>
        </is>
      </c>
      <c r="E151" t="inlineStr">
        <is>
          <t>←첫째(1)둘째(2)셋째(3)</t>
        </is>
      </c>
      <c r="F151" s="3" t="inlineStr"/>
      <c r="G151" s="3" t="inlineStr"/>
    </row>
    <row r="152">
      <c r="A152" t="inlineStr">
        <is>
          <t>복식부기</t>
        </is>
      </c>
      <c r="B152" t="inlineStr">
        <is>
          <t>기본</t>
        </is>
      </c>
      <c r="C152" t="inlineStr">
        <is>
          <t>B44</t>
        </is>
      </c>
      <c r="D152" t="inlineStr">
        <is>
          <t>0</t>
        </is>
      </c>
      <c r="E152" t="inlineStr">
        <is>
          <t>←연금저축</t>
        </is>
      </c>
      <c r="F152" s="3" t="inlineStr"/>
      <c r="G152" s="3" t="inlineStr"/>
    </row>
    <row r="153">
      <c r="A153" t="inlineStr">
        <is>
          <t>복식부기</t>
        </is>
      </c>
      <c r="B153" t="inlineStr">
        <is>
          <t>기본</t>
        </is>
      </c>
      <c r="C153" t="inlineStr">
        <is>
          <t>B45</t>
        </is>
      </c>
      <c r="D153" t="inlineStr">
        <is>
          <t>0</t>
        </is>
      </c>
      <c r="E153" t="inlineStr">
        <is>
          <t>←표준공제(사업)</t>
        </is>
      </c>
      <c r="F153" s="3" t="inlineStr"/>
      <c r="G153" s="3" t="inlineStr"/>
    </row>
    <row r="154">
      <c r="A154" t="inlineStr">
        <is>
          <t>복식부기</t>
        </is>
      </c>
      <c r="B154" t="inlineStr">
        <is>
          <t>기본</t>
        </is>
      </c>
      <c r="C154" t="inlineStr">
        <is>
          <t>B54</t>
        </is>
      </c>
      <c r="D154" t="inlineStr">
        <is>
          <t>복식부기</t>
        </is>
      </c>
      <c r="E154" t="inlineStr">
        <is>
          <t>←올해 안내문</t>
        </is>
      </c>
      <c r="F154" s="3" t="inlineStr"/>
      <c r="G154" s="3" t="inlineStr"/>
    </row>
    <row r="155">
      <c r="A155" t="inlineStr">
        <is>
          <t>복식부기</t>
        </is>
      </c>
      <c r="B155" t="inlineStr">
        <is>
          <t>기본</t>
        </is>
      </c>
      <c r="C155" t="inlineStr">
        <is>
          <t>F54</t>
        </is>
      </c>
      <c r="D155" t="inlineStr">
        <is>
          <t>간편장부</t>
        </is>
      </c>
      <c r="E155" t="inlineStr">
        <is>
          <t>←전년도 신고내용</t>
        </is>
      </c>
      <c r="F155" s="3" t="inlineStr"/>
      <c r="G155" s="3" t="inlineStr"/>
    </row>
    <row r="156">
      <c r="A156" t="inlineStr">
        <is>
          <t>복식부기</t>
        </is>
      </c>
      <c r="B156" t="inlineStr">
        <is>
          <t>기본</t>
        </is>
      </c>
      <c r="C156" t="inlineStr">
        <is>
          <t>J55</t>
        </is>
      </c>
      <c r="D156" t="inlineStr">
        <is>
          <t>해당</t>
        </is>
      </c>
      <c r="E156" t="inlineStr">
        <is>
          <t>←I유형 해당여부 / ↑=J49-J52</t>
        </is>
      </c>
      <c r="F156" s="3" t="inlineStr"/>
      <c r="G156" s="3" t="inlineStr"/>
    </row>
    <row r="157">
      <c r="A157" t="inlineStr">
        <is>
          <t>복식부기</t>
        </is>
      </c>
      <c r="B157" t="inlineStr">
        <is>
          <t>기본</t>
        </is>
      </c>
      <c r="C157" t="inlineStr">
        <is>
          <t>B59</t>
        </is>
      </c>
      <c r="D157" t="inlineStr">
        <is>
          <t>8095000</t>
        </is>
      </c>
      <c r="E157" t="inlineStr">
        <is>
          <t>←근로소득금액 / ↑=B57/B55</t>
        </is>
      </c>
      <c r="F157" s="3" t="inlineStr"/>
      <c r="G157" s="3" t="inlineStr"/>
    </row>
    <row r="158">
      <c r="A158" t="inlineStr">
        <is>
          <t>복식부기</t>
        </is>
      </c>
      <c r="B158" t="inlineStr">
        <is>
          <t>기본</t>
        </is>
      </c>
      <c r="C158" t="inlineStr">
        <is>
          <t>C59</t>
        </is>
      </c>
      <c r="D158" t="inlineStr">
        <is>
          <t>8095000</t>
        </is>
      </c>
      <c r="E158" t="inlineStr">
        <is>
          <t>←근로소득금액 / ↑=C57/C55</t>
        </is>
      </c>
      <c r="F158" s="3" t="inlineStr"/>
      <c r="G158" s="3" t="inlineStr"/>
    </row>
    <row r="159">
      <c r="A159" t="inlineStr">
        <is>
          <t>복식부기</t>
        </is>
      </c>
      <c r="B159" t="inlineStr">
        <is>
          <t>기본</t>
        </is>
      </c>
      <c r="C159" t="inlineStr">
        <is>
          <t>D59</t>
        </is>
      </c>
      <c r="D159" t="inlineStr">
        <is>
          <t>8095000</t>
        </is>
      </c>
      <c r="E159" t="inlineStr">
        <is>
          <t>←근로소득금액 / ↑=D57/D55</t>
        </is>
      </c>
      <c r="F159" s="3" t="inlineStr"/>
      <c r="G159" s="3" t="inlineStr"/>
    </row>
    <row r="160">
      <c r="A160" t="inlineStr">
        <is>
          <t>복식부기</t>
        </is>
      </c>
      <c r="B160" t="inlineStr">
        <is>
          <t>기본</t>
        </is>
      </c>
      <c r="C160" t="inlineStr">
        <is>
          <t>V59</t>
        </is>
      </c>
      <c r="D160" t="inlineStr">
        <is>
          <t>반영경비 합계</t>
        </is>
      </c>
      <c r="E160" t="inlineStr">
        <is>
          <t>↑기타경비</t>
        </is>
      </c>
      <c r="F160" s="3" t="inlineStr"/>
      <c r="G160" s="3" t="inlineStr"/>
    </row>
    <row r="161">
      <c r="A161" t="inlineStr">
        <is>
          <t>복식부기</t>
        </is>
      </c>
      <c r="B161" t="inlineStr">
        <is>
          <t>기본</t>
        </is>
      </c>
      <c r="C161" t="inlineStr">
        <is>
          <t>X59</t>
        </is>
      </c>
      <c r="D161">
        <f>SUM(X54:X58)</f>
        <v/>
      </c>
      <c r="E161" t="inlineStr">
        <is>
          <t>←반영경비 합계 / ↑=D14</t>
        </is>
      </c>
      <c r="F161" s="3" t="inlineStr"/>
      <c r="G161" s="3" t="inlineStr"/>
    </row>
    <row r="162">
      <c r="A162" t="inlineStr">
        <is>
          <t>복식부기</t>
        </is>
      </c>
      <c r="B162" t="inlineStr">
        <is>
          <t>기본</t>
        </is>
      </c>
      <c r="C162" t="inlineStr">
        <is>
          <t>B62</t>
        </is>
      </c>
      <c r="D162" t="inlineStr">
        <is>
          <t>0</t>
        </is>
      </c>
      <c r="E162" t="inlineStr">
        <is>
          <t>←기타소득금액</t>
        </is>
      </c>
      <c r="F162" s="3" t="inlineStr"/>
      <c r="G162" s="3" t="inlineStr"/>
    </row>
    <row r="163">
      <c r="A163" t="inlineStr">
        <is>
          <t>복식부기</t>
        </is>
      </c>
      <c r="B163" t="inlineStr">
        <is>
          <t>기본</t>
        </is>
      </c>
      <c r="C163" t="inlineStr">
        <is>
          <t>C62</t>
        </is>
      </c>
      <c r="D163" t="inlineStr">
        <is>
          <t>0</t>
        </is>
      </c>
      <c r="E163" t="inlineStr">
        <is>
          <t>←기타소득금액</t>
        </is>
      </c>
      <c r="F163" s="3" t="inlineStr"/>
      <c r="G163" s="3" t="inlineStr"/>
    </row>
    <row r="164">
      <c r="A164" t="inlineStr">
        <is>
          <t>복식부기</t>
        </is>
      </c>
      <c r="B164" t="inlineStr">
        <is>
          <t>기본</t>
        </is>
      </c>
      <c r="C164" t="inlineStr">
        <is>
          <t>D62</t>
        </is>
      </c>
      <c r="D164" t="inlineStr">
        <is>
          <t>0</t>
        </is>
      </c>
      <c r="E164" t="inlineStr">
        <is>
          <t>←기타소득금액</t>
        </is>
      </c>
      <c r="F164" s="3" t="inlineStr"/>
      <c r="G164" s="3" t="inlineStr"/>
    </row>
    <row r="165">
      <c r="A165" t="inlineStr">
        <is>
          <t>복식부기</t>
        </is>
      </c>
      <c r="B165" t="inlineStr">
        <is>
          <t>기본</t>
        </is>
      </c>
      <c r="C165" t="inlineStr">
        <is>
          <t>C63</t>
        </is>
      </c>
      <c r="D165">
        <f>B63</f>
        <v/>
      </c>
      <c r="E165" t="inlineStr">
        <is>
          <t>←소득공제</t>
        </is>
      </c>
      <c r="F165" s="3" t="inlineStr"/>
      <c r="G165" s="3" t="inlineStr"/>
    </row>
    <row r="166">
      <c r="A166" t="inlineStr">
        <is>
          <t>복식부기</t>
        </is>
      </c>
      <c r="B166" t="inlineStr">
        <is>
          <t>기본</t>
        </is>
      </c>
      <c r="C166" t="inlineStr">
        <is>
          <t>D63</t>
        </is>
      </c>
      <c r="D166">
        <f>B63</f>
        <v/>
      </c>
      <c r="E166" t="inlineStr">
        <is>
          <t>←=B63</t>
        </is>
      </c>
      <c r="F166" s="3" t="inlineStr"/>
      <c r="G166" s="3" t="inlineStr"/>
    </row>
    <row r="167">
      <c r="A167" t="inlineStr">
        <is>
          <t>복식부기</t>
        </is>
      </c>
      <c r="B167" t="inlineStr">
        <is>
          <t>기본</t>
        </is>
      </c>
      <c r="C167" t="inlineStr">
        <is>
          <t>B68</t>
        </is>
      </c>
      <c r="D167" t="inlineStr">
        <is>
          <t>1853950</t>
        </is>
      </c>
      <c r="E167" t="inlineStr">
        <is>
          <t>←세액공제 / ↑=B64*B65-B66</t>
        </is>
      </c>
      <c r="F167" s="3" t="inlineStr"/>
      <c r="G167" s="3" t="inlineStr"/>
    </row>
    <row r="168">
      <c r="A168" t="inlineStr">
        <is>
          <t>복식부기</t>
        </is>
      </c>
      <c r="B168" t="inlineStr">
        <is>
          <t>기본</t>
        </is>
      </c>
      <c r="C168" t="inlineStr">
        <is>
          <t>C68</t>
        </is>
      </c>
      <c r="D168" t="inlineStr">
        <is>
          <t>1853950</t>
        </is>
      </c>
      <c r="E168" t="inlineStr">
        <is>
          <t>←세액공제 / ↑=C64*C65-C66</t>
        </is>
      </c>
      <c r="F168" s="3" t="inlineStr"/>
      <c r="G168" s="3" t="inlineStr"/>
    </row>
    <row r="169">
      <c r="A169" t="inlineStr">
        <is>
          <t>복식부기</t>
        </is>
      </c>
      <c r="B169" t="inlineStr">
        <is>
          <t>기본</t>
        </is>
      </c>
      <c r="C169" t="inlineStr">
        <is>
          <t>D68</t>
        </is>
      </c>
      <c r="D169" t="inlineStr">
        <is>
          <t>1853950</t>
        </is>
      </c>
      <c r="E169" t="inlineStr">
        <is>
          <t>←세액공제 / ↑=D64*D65-D66</t>
        </is>
      </c>
      <c r="F169" s="3" t="inlineStr"/>
      <c r="G169" s="3" t="inlineStr"/>
    </row>
    <row r="170">
      <c r="A170" t="inlineStr">
        <is>
          <t>복식부기</t>
        </is>
      </c>
      <c r="B170" t="inlineStr">
        <is>
          <t>기본</t>
        </is>
      </c>
      <c r="C170" t="inlineStr">
        <is>
          <t>V69</t>
        </is>
      </c>
      <c r="D170" t="inlineStr">
        <is>
          <t>수입금액</t>
        </is>
      </c>
      <c r="E170" t="inlineStr">
        <is>
          <t>↑합계</t>
        </is>
      </c>
      <c r="F170" s="3" t="inlineStr"/>
      <c r="G170" s="3" t="inlineStr"/>
    </row>
    <row r="171">
      <c r="A171" t="inlineStr">
        <is>
          <t>복식부기</t>
        </is>
      </c>
      <c r="B171" t="inlineStr">
        <is>
          <t>기본</t>
        </is>
      </c>
      <c r="C171" t="inlineStr">
        <is>
          <t>X69</t>
        </is>
      </c>
      <c r="D171">
        <f>D5</f>
        <v/>
      </c>
      <c r="E171" t="inlineStr">
        <is>
          <t>←수입금액 / ↑=SUM(X65:X67)</t>
        </is>
      </c>
      <c r="F171" s="3" t="inlineStr"/>
      <c r="G171" s="3" t="inlineStr"/>
    </row>
    <row r="172">
      <c r="A172" t="inlineStr">
        <is>
          <t>복식부기</t>
        </is>
      </c>
      <c r="B172" t="inlineStr">
        <is>
          <t>기본</t>
        </is>
      </c>
      <c r="C172" t="inlineStr">
        <is>
          <t>B70</t>
        </is>
      </c>
      <c r="D172" t="inlineStr">
        <is>
          <t>0</t>
        </is>
      </c>
      <c r="E172" t="inlineStr">
        <is>
          <t>←기납부세액 / ↑=B67-B68</t>
        </is>
      </c>
      <c r="F172" s="3" t="inlineStr"/>
      <c r="G172" s="3" t="inlineStr"/>
    </row>
    <row r="173">
      <c r="A173" t="inlineStr">
        <is>
          <t>복식부기</t>
        </is>
      </c>
      <c r="B173" t="inlineStr">
        <is>
          <t>기본</t>
        </is>
      </c>
      <c r="C173" t="inlineStr">
        <is>
          <t>C70</t>
        </is>
      </c>
      <c r="D173" t="inlineStr">
        <is>
          <t>0</t>
        </is>
      </c>
      <c r="E173" t="inlineStr">
        <is>
          <t>←기납부세액 / ↑=C67-C68</t>
        </is>
      </c>
      <c r="F173" s="3" t="inlineStr"/>
      <c r="G173" s="3" t="inlineStr"/>
    </row>
    <row r="174">
      <c r="A174" t="inlineStr">
        <is>
          <t>복식부기</t>
        </is>
      </c>
      <c r="B174" t="inlineStr">
        <is>
          <t>기본</t>
        </is>
      </c>
      <c r="C174" t="inlineStr">
        <is>
          <t>D70</t>
        </is>
      </c>
      <c r="D174" t="inlineStr">
        <is>
          <t>0</t>
        </is>
      </c>
      <c r="E174" t="inlineStr">
        <is>
          <t>←기납부세액 / ↑=D67-D68</t>
        </is>
      </c>
      <c r="F174" s="3" t="inlineStr"/>
      <c r="G174" s="3" t="inlineStr"/>
    </row>
    <row r="175">
      <c r="A175" t="inlineStr">
        <is>
          <t>복식부기</t>
        </is>
      </c>
      <c r="B175" t="inlineStr">
        <is>
          <t>기본</t>
        </is>
      </c>
      <c r="C175" t="inlineStr">
        <is>
          <t>V70</t>
        </is>
      </c>
      <c r="D175" t="inlineStr">
        <is>
          <t>반영경비 소득률</t>
        </is>
      </c>
      <c r="E175" t="inlineStr">
        <is>
          <t>↑수입금액</t>
        </is>
      </c>
      <c r="F175" s="3" t="inlineStr"/>
      <c r="G175" s="3" t="inlineStr"/>
    </row>
    <row r="176">
      <c r="A176" t="inlineStr">
        <is>
          <t>복식부기</t>
        </is>
      </c>
      <c r="B176" t="inlineStr">
        <is>
          <t>기본</t>
        </is>
      </c>
      <c r="C176" t="inlineStr">
        <is>
          <t>X70</t>
        </is>
      </c>
      <c r="D176">
        <f>D17</f>
        <v/>
      </c>
      <c r="E176" t="inlineStr">
        <is>
          <t>←반영경비 소득률 / ↑=D5</t>
        </is>
      </c>
      <c r="F176" s="3" t="inlineStr"/>
      <c r="G176" s="3" t="inlineStr"/>
    </row>
    <row r="177">
      <c r="A177" t="inlineStr">
        <is>
          <t>복식부기</t>
        </is>
      </c>
      <c r="B177" t="inlineStr">
        <is>
          <t>기본</t>
        </is>
      </c>
      <c r="C177" t="inlineStr">
        <is>
          <t>V73</t>
        </is>
      </c>
      <c r="D177" t="inlineStr">
        <is>
          <t>반영경비 과세표준 세액</t>
        </is>
      </c>
      <c r="E177" t="inlineStr">
        <is>
          <t>↑기준경비율 소득률</t>
        </is>
      </c>
      <c r="F177" s="3" t="inlineStr"/>
      <c r="G177" s="3" t="inlineStr"/>
    </row>
    <row r="178">
      <c r="A178" t="inlineStr">
        <is>
          <t>복식부기</t>
        </is>
      </c>
      <c r="B178" t="inlineStr">
        <is>
          <t>기본</t>
        </is>
      </c>
      <c r="C178" t="inlineStr">
        <is>
          <t>X73</t>
        </is>
      </c>
      <c r="D178">
        <f>B71</f>
        <v/>
      </c>
      <c r="E178" t="inlineStr">
        <is>
          <t>←반영경비 과세표준 세액 / ↑=1-H4*2.8</t>
        </is>
      </c>
      <c r="F178" s="3" t="inlineStr"/>
      <c r="G178" s="3" t="inlineStr"/>
    </row>
    <row r="179">
      <c r="A179" t="inlineStr">
        <is>
          <t>복식부기</t>
        </is>
      </c>
      <c r="B179" t="inlineStr">
        <is>
          <t>프리복식</t>
        </is>
      </c>
      <c r="C179" t="inlineStr">
        <is>
          <t>D3</t>
        </is>
      </c>
      <c r="D179" t="inlineStr">
        <is>
          <t>박주환</t>
        </is>
      </c>
      <c r="E179" t="inlineStr">
        <is>
          <t>←상호(성명) / ↑간편장부</t>
        </is>
      </c>
      <c r="F179" s="3" t="inlineStr"/>
      <c r="G179" s="3" t="inlineStr"/>
    </row>
    <row r="180">
      <c r="A180" t="inlineStr">
        <is>
          <t>복식부기</t>
        </is>
      </c>
      <c r="B180" t="inlineStr">
        <is>
          <t>프리복식</t>
        </is>
      </c>
      <c r="C180" t="inlineStr">
        <is>
          <t>D4</t>
        </is>
      </c>
      <c r="D180" t="inlineStr">
        <is>
          <t>940909</t>
        </is>
      </c>
      <c r="E180" t="inlineStr">
        <is>
          <t>←=VLOOKUP(D4,'2022귀속업종코드'!$A$1:$I$1533,5,FALSE) / ↑박주환</t>
        </is>
      </c>
      <c r="F180" s="3" t="inlineStr"/>
      <c r="G180" s="3" t="inlineStr"/>
    </row>
    <row r="181">
      <c r="A181" t="inlineStr">
        <is>
          <t>복식부기</t>
        </is>
      </c>
      <c r="B181" t="inlineStr">
        <is>
          <t>프리복식</t>
        </is>
      </c>
      <c r="C181" t="inlineStr">
        <is>
          <t>D5</t>
        </is>
      </c>
      <c r="D181" t="inlineStr">
        <is>
          <t>71826350</t>
        </is>
      </c>
      <c r="E181" t="inlineStr">
        <is>
          <t>←수입금액 / ↑박주환</t>
        </is>
      </c>
      <c r="F181" s="3" t="inlineStr"/>
      <c r="G181" s="3" t="inlineStr"/>
    </row>
    <row r="182">
      <c r="A182" t="inlineStr">
        <is>
          <t>복식부기</t>
        </is>
      </c>
      <c r="B182" t="inlineStr">
        <is>
          <t>프리복식</t>
        </is>
      </c>
      <c r="C182" t="inlineStr">
        <is>
          <t>D7</t>
        </is>
      </c>
      <c r="D182" t="inlineStr">
        <is>
          <t>0</t>
        </is>
      </c>
      <c r="E182" t="inlineStr">
        <is>
          <t>↑=SUM(D7:D14)</t>
        </is>
      </c>
      <c r="F182" s="3" t="inlineStr"/>
      <c r="G182" s="3" t="inlineStr"/>
    </row>
    <row r="183">
      <c r="A183" t="inlineStr">
        <is>
          <t>복식부기</t>
        </is>
      </c>
      <c r="B183" t="inlineStr">
        <is>
          <t>프리복식</t>
        </is>
      </c>
      <c r="C183" t="inlineStr">
        <is>
          <t>D11</t>
        </is>
      </c>
      <c r="D183" t="inlineStr">
        <is>
          <t>0</t>
        </is>
      </c>
      <c r="E183" t="inlineStr">
        <is>
          <t>←감가상각비</t>
        </is>
      </c>
      <c r="F183" s="3" t="inlineStr"/>
      <c r="G183" s="3" t="inlineStr"/>
    </row>
    <row r="184">
      <c r="A184" t="inlineStr">
        <is>
          <t>복식부기</t>
        </is>
      </c>
      <c r="B184" t="inlineStr">
        <is>
          <t>프리복식</t>
        </is>
      </c>
      <c r="C184" t="inlineStr">
        <is>
          <t>D12</t>
        </is>
      </c>
      <c r="D184" t="inlineStr">
        <is>
          <t>0</t>
        </is>
      </c>
      <c r="E184" t="inlineStr">
        <is>
          <t>←원천세 신고서</t>
        </is>
      </c>
      <c r="F184" s="3" t="inlineStr"/>
      <c r="G184" s="3" t="inlineStr"/>
    </row>
    <row r="185">
      <c r="A185" t="inlineStr">
        <is>
          <t>복식부기</t>
        </is>
      </c>
      <c r="B185" t="inlineStr">
        <is>
          <t>프리복식</t>
        </is>
      </c>
      <c r="C185" t="inlineStr">
        <is>
          <t>D19</t>
        </is>
      </c>
      <c r="D185" t="inlineStr">
        <is>
          <t>0</t>
        </is>
      </c>
      <c r="E185" t="inlineStr">
        <is>
          <t>←근로소득금액 / ↑=1-J4</t>
        </is>
      </c>
      <c r="F185" s="3" t="inlineStr"/>
      <c r="G185" s="3" t="inlineStr"/>
    </row>
    <row r="186">
      <c r="A186" t="inlineStr">
        <is>
          <t>복식부기</t>
        </is>
      </c>
      <c r="B186" t="inlineStr">
        <is>
          <t>프리복식</t>
        </is>
      </c>
      <c r="C186" t="inlineStr">
        <is>
          <t>D20</t>
        </is>
      </c>
      <c r="D186" t="inlineStr">
        <is>
          <t>0</t>
        </is>
      </c>
      <c r="E186" t="inlineStr">
        <is>
          <t>←이월결손금 / ↑=1-J4</t>
        </is>
      </c>
      <c r="F186" s="3" t="inlineStr"/>
      <c r="G186" s="3" t="inlineStr"/>
    </row>
    <row r="187">
      <c r="A187" t="inlineStr">
        <is>
          <t>복식부기</t>
        </is>
      </c>
      <c r="B187" t="inlineStr">
        <is>
          <t>프리복식</t>
        </is>
      </c>
      <c r="C187" t="inlineStr">
        <is>
          <t>U24</t>
        </is>
      </c>
      <c r="D187" t="inlineStr">
        <is>
          <t>지급처별지급금액</t>
        </is>
      </c>
      <c r="E187" t="inlineStr">
        <is>
          <t>↑원천징수영수증 입력</t>
        </is>
      </c>
      <c r="F187" s="3" t="inlineStr"/>
      <c r="G187" s="3" t="inlineStr"/>
    </row>
    <row r="188">
      <c r="A188" t="inlineStr">
        <is>
          <t>복식부기</t>
        </is>
      </c>
      <c r="B188" t="inlineStr">
        <is>
          <t>프리복식</t>
        </is>
      </c>
      <c r="C188" t="inlineStr">
        <is>
          <t>V24</t>
        </is>
      </c>
      <c r="D188" t="inlineStr">
        <is>
          <t>소득세</t>
        </is>
      </c>
      <c r="E188" t="inlineStr">
        <is>
          <t>←지급처별지급금액</t>
        </is>
      </c>
      <c r="F188" s="3" t="inlineStr"/>
      <c r="G188" s="3" t="inlineStr"/>
    </row>
    <row r="189">
      <c r="A189" t="inlineStr">
        <is>
          <t>복식부기</t>
        </is>
      </c>
      <c r="B189" t="inlineStr">
        <is>
          <t>프리복식</t>
        </is>
      </c>
      <c r="C189" t="inlineStr">
        <is>
          <t>W24</t>
        </is>
      </c>
      <c r="D189" t="inlineStr">
        <is>
          <t>지방세</t>
        </is>
      </c>
      <c r="E189" t="inlineStr">
        <is>
          <t>←소득세</t>
        </is>
      </c>
      <c r="F189" s="3" t="inlineStr"/>
      <c r="G189" s="3" t="inlineStr"/>
    </row>
    <row r="190">
      <c r="A190" t="inlineStr">
        <is>
          <t>복식부기</t>
        </is>
      </c>
      <c r="B190" t="inlineStr">
        <is>
          <t>프리복식</t>
        </is>
      </c>
      <c r="C190" t="inlineStr">
        <is>
          <t>X24</t>
        </is>
      </c>
      <c r="D190" t="inlineStr">
        <is>
          <t>기납부세액(소득세)</t>
        </is>
      </c>
      <c r="E190" t="inlineStr">
        <is>
          <t>←지방세 / ↑소득세신고서 입력</t>
        </is>
      </c>
      <c r="F190" s="3" t="inlineStr"/>
      <c r="G190" s="3" t="inlineStr"/>
    </row>
    <row r="191">
      <c r="A191" t="inlineStr">
        <is>
          <t>복식부기</t>
        </is>
      </c>
      <c r="B191" t="inlineStr">
        <is>
          <t>프리복식</t>
        </is>
      </c>
      <c r="C191" t="inlineStr">
        <is>
          <t>Y24</t>
        </is>
      </c>
      <c r="D191" t="inlineStr">
        <is>
          <t>기납부세액(지방세)</t>
        </is>
      </c>
      <c r="E191" t="inlineStr">
        <is>
          <t>←기납부세액(소득세)</t>
        </is>
      </c>
      <c r="F191" s="3" t="inlineStr"/>
      <c r="G191" s="3" t="inlineStr"/>
    </row>
    <row r="192">
      <c r="A192" t="inlineStr">
        <is>
          <t>복식부기</t>
        </is>
      </c>
      <c r="B192" t="inlineStr">
        <is>
          <t>프리복식</t>
        </is>
      </c>
      <c r="C192" t="inlineStr">
        <is>
          <t>U25</t>
        </is>
      </c>
      <c r="D192" t="inlineStr">
        <is>
          <t>3949933</t>
        </is>
      </c>
      <c r="E192" t="inlineStr">
        <is>
          <t>↑지급처별지급금액</t>
        </is>
      </c>
      <c r="F192" s="3" t="inlineStr"/>
      <c r="G192" s="3" t="inlineStr"/>
    </row>
    <row r="193">
      <c r="A193" t="inlineStr">
        <is>
          <t>복식부기</t>
        </is>
      </c>
      <c r="B193" t="inlineStr">
        <is>
          <t>프리복식</t>
        </is>
      </c>
      <c r="C193" t="inlineStr">
        <is>
          <t>V25</t>
        </is>
      </c>
      <c r="D193" t="inlineStr">
        <is>
          <t>118450</t>
        </is>
      </c>
      <c r="E193" t="inlineStr">
        <is>
          <t>↑소득세</t>
        </is>
      </c>
      <c r="F193" s="3" t="inlineStr"/>
      <c r="G193" s="3" t="inlineStr"/>
    </row>
    <row r="194">
      <c r="A194" t="inlineStr">
        <is>
          <t>복식부기</t>
        </is>
      </c>
      <c r="B194" t="inlineStr">
        <is>
          <t>프리복식</t>
        </is>
      </c>
      <c r="C194" t="inlineStr">
        <is>
          <t>W25</t>
        </is>
      </c>
      <c r="D194" t="inlineStr">
        <is>
          <t>11780</t>
        </is>
      </c>
      <c r="E194" t="inlineStr">
        <is>
          <t>↑지방세</t>
        </is>
      </c>
      <c r="F194" s="3" t="inlineStr"/>
      <c r="G194" s="3" t="inlineStr"/>
    </row>
    <row r="195">
      <c r="A195" t="inlineStr">
        <is>
          <t>복식부기</t>
        </is>
      </c>
      <c r="B195" t="inlineStr">
        <is>
          <t>프리복식</t>
        </is>
      </c>
      <c r="C195" t="inlineStr">
        <is>
          <t>X25</t>
        </is>
      </c>
      <c r="D195">
        <f>2172180+5604924</f>
        <v/>
      </c>
      <c r="E195" t="inlineStr">
        <is>
          <t>↑기납부세액(소득세)</t>
        </is>
      </c>
      <c r="F195" s="3" t="inlineStr"/>
      <c r="G195" s="3" t="inlineStr"/>
    </row>
    <row r="196">
      <c r="A196" t="inlineStr">
        <is>
          <t>복식부기</t>
        </is>
      </c>
      <c r="B196" t="inlineStr">
        <is>
          <t>프리복식</t>
        </is>
      </c>
      <c r="C196" t="inlineStr">
        <is>
          <t>Y25</t>
        </is>
      </c>
      <c r="D196" t="inlineStr">
        <is>
          <t>0</t>
        </is>
      </c>
      <c r="E196" t="inlineStr">
        <is>
          <t>←=2172180+5604924 / ↑기납부세액(지방세)</t>
        </is>
      </c>
      <c r="F196" s="3" t="inlineStr"/>
      <c r="G196" s="3" t="inlineStr"/>
    </row>
    <row r="197">
      <c r="A197" t="inlineStr">
        <is>
          <t>복식부기</t>
        </is>
      </c>
      <c r="B197" t="inlineStr">
        <is>
          <t>프리복식</t>
        </is>
      </c>
      <c r="C197" t="inlineStr">
        <is>
          <t>C26</t>
        </is>
      </c>
      <c r="D197" t="inlineStr">
        <is>
          <t>1</t>
        </is>
      </c>
      <c r="E197" t="inlineStr">
        <is>
          <t>←본인</t>
        </is>
      </c>
      <c r="F197" s="3" t="inlineStr"/>
      <c r="G197" s="3" t="inlineStr"/>
    </row>
    <row r="198">
      <c r="A198" t="inlineStr">
        <is>
          <t>복식부기</t>
        </is>
      </c>
      <c r="B198" t="inlineStr">
        <is>
          <t>프리복식</t>
        </is>
      </c>
      <c r="C198" t="inlineStr">
        <is>
          <t>U26</t>
        </is>
      </c>
      <c r="D198" t="inlineStr">
        <is>
          <t>42348589</t>
        </is>
      </c>
      <c r="E198" t="inlineStr">
        <is>
          <t>↑지급처별지급금액</t>
        </is>
      </c>
      <c r="F198" s="3" t="inlineStr"/>
      <c r="G198" s="3" t="inlineStr"/>
    </row>
    <row r="199">
      <c r="A199" t="inlineStr">
        <is>
          <t>복식부기</t>
        </is>
      </c>
      <c r="B199" t="inlineStr">
        <is>
          <t>프리복식</t>
        </is>
      </c>
      <c r="C199" t="inlineStr">
        <is>
          <t>V26</t>
        </is>
      </c>
      <c r="D199" t="inlineStr">
        <is>
          <t>1270410</t>
        </is>
      </c>
      <c r="E199" t="inlineStr">
        <is>
          <t>↑소득세</t>
        </is>
      </c>
      <c r="F199" s="3" t="inlineStr"/>
      <c r="G199" s="3" t="inlineStr"/>
    </row>
    <row r="200">
      <c r="A200" t="inlineStr">
        <is>
          <t>복식부기</t>
        </is>
      </c>
      <c r="B200" t="inlineStr">
        <is>
          <t>프리복식</t>
        </is>
      </c>
      <c r="C200" t="inlineStr">
        <is>
          <t>W26</t>
        </is>
      </c>
      <c r="D200" t="inlineStr">
        <is>
          <t>126980</t>
        </is>
      </c>
      <c r="E200" t="inlineStr">
        <is>
          <t>↑지방세</t>
        </is>
      </c>
      <c r="F200" s="3" t="inlineStr"/>
      <c r="G200" s="3" t="inlineStr"/>
    </row>
    <row r="201">
      <c r="A201" t="inlineStr">
        <is>
          <t>복식부기</t>
        </is>
      </c>
      <c r="B201" t="inlineStr">
        <is>
          <t>프리복식</t>
        </is>
      </c>
      <c r="C201" t="inlineStr">
        <is>
          <t>C27</t>
        </is>
      </c>
      <c r="D201" t="inlineStr">
        <is>
          <t>0</t>
        </is>
      </c>
      <c r="E201" t="inlineStr">
        <is>
          <t>←배우자</t>
        </is>
      </c>
      <c r="F201" s="3" t="inlineStr"/>
      <c r="G201" s="3" t="inlineStr"/>
    </row>
    <row r="202">
      <c r="A202" t="inlineStr">
        <is>
          <t>복식부기</t>
        </is>
      </c>
      <c r="B202" t="inlineStr">
        <is>
          <t>프리복식</t>
        </is>
      </c>
      <c r="C202" t="inlineStr">
        <is>
          <t>U27</t>
        </is>
      </c>
      <c r="D202" t="inlineStr">
        <is>
          <t>15000000</t>
        </is>
      </c>
      <c r="E202" t="inlineStr">
        <is>
          <t>↑지급처별지급금액</t>
        </is>
      </c>
      <c r="F202" s="3" t="inlineStr"/>
      <c r="G202" s="3" t="inlineStr"/>
    </row>
    <row r="203">
      <c r="A203" t="inlineStr">
        <is>
          <t>복식부기</t>
        </is>
      </c>
      <c r="B203" t="inlineStr">
        <is>
          <t>프리복식</t>
        </is>
      </c>
      <c r="C203" t="inlineStr">
        <is>
          <t>V27</t>
        </is>
      </c>
      <c r="D203" t="inlineStr">
        <is>
          <t>450000</t>
        </is>
      </c>
      <c r="E203" t="inlineStr">
        <is>
          <t>↑소득세</t>
        </is>
      </c>
      <c r="F203" s="3" t="inlineStr"/>
      <c r="G203" s="3" t="inlineStr"/>
    </row>
    <row r="204">
      <c r="A204" t="inlineStr">
        <is>
          <t>복식부기</t>
        </is>
      </c>
      <c r="B204" t="inlineStr">
        <is>
          <t>프리복식</t>
        </is>
      </c>
      <c r="C204" t="inlineStr">
        <is>
          <t>W27</t>
        </is>
      </c>
      <c r="D204" t="inlineStr">
        <is>
          <t>45000</t>
        </is>
      </c>
      <c r="E204" t="inlineStr">
        <is>
          <t>↑지방세</t>
        </is>
      </c>
      <c r="F204" s="3" t="inlineStr"/>
      <c r="G204" s="3" t="inlineStr"/>
    </row>
    <row r="205">
      <c r="A205" t="inlineStr">
        <is>
          <t>복식부기</t>
        </is>
      </c>
      <c r="B205" t="inlineStr">
        <is>
          <t>프리복식</t>
        </is>
      </c>
      <c r="C205" t="inlineStr">
        <is>
          <t>C28</t>
        </is>
      </c>
      <c r="D205" t="inlineStr">
        <is>
          <t>0</t>
        </is>
      </c>
      <c r="E205" t="inlineStr">
        <is>
          <t>←자녀</t>
        </is>
      </c>
      <c r="F205" s="3" t="inlineStr"/>
      <c r="G205" s="3" t="inlineStr"/>
    </row>
    <row r="206">
      <c r="A206" t="inlineStr">
        <is>
          <t>복식부기</t>
        </is>
      </c>
      <c r="B206" t="inlineStr">
        <is>
          <t>프리복식</t>
        </is>
      </c>
      <c r="C206" t="inlineStr">
        <is>
          <t>U28</t>
        </is>
      </c>
      <c r="D206" t="inlineStr">
        <is>
          <t>11112050</t>
        </is>
      </c>
      <c r="E206" t="inlineStr">
        <is>
          <t>(라벨 없음)</t>
        </is>
      </c>
      <c r="F206" s="3" t="inlineStr"/>
      <c r="G206" s="3" t="inlineStr"/>
    </row>
    <row r="207">
      <c r="A207" t="inlineStr">
        <is>
          <t>복식부기</t>
        </is>
      </c>
      <c r="B207" t="inlineStr">
        <is>
          <t>프리복식</t>
        </is>
      </c>
      <c r="C207" t="inlineStr">
        <is>
          <t>V28</t>
        </is>
      </c>
      <c r="D207" t="inlineStr">
        <is>
          <t>333320</t>
        </is>
      </c>
      <c r="E207" t="inlineStr">
        <is>
          <t>(라벨 없음)</t>
        </is>
      </c>
      <c r="F207" s="3" t="inlineStr"/>
      <c r="G207" s="3" t="inlineStr"/>
    </row>
    <row r="208">
      <c r="A208" t="inlineStr">
        <is>
          <t>복식부기</t>
        </is>
      </c>
      <c r="B208" t="inlineStr">
        <is>
          <t>프리복식</t>
        </is>
      </c>
      <c r="C208" t="inlineStr">
        <is>
          <t>W28</t>
        </is>
      </c>
      <c r="D208" t="inlineStr">
        <is>
          <t>33300</t>
        </is>
      </c>
      <c r="E208" t="inlineStr">
        <is>
          <t>(라벨 없음)</t>
        </is>
      </c>
      <c r="F208" s="3" t="inlineStr"/>
      <c r="G208" s="3" t="inlineStr"/>
    </row>
    <row r="209">
      <c r="A209" t="inlineStr">
        <is>
          <t>복식부기</t>
        </is>
      </c>
      <c r="B209" t="inlineStr">
        <is>
          <t>프리복식</t>
        </is>
      </c>
      <c r="C209" t="inlineStr">
        <is>
          <t>C29</t>
        </is>
      </c>
      <c r="D209" t="inlineStr">
        <is>
          <t>0</t>
        </is>
      </c>
      <c r="E209" t="inlineStr">
        <is>
          <t>←부모님</t>
        </is>
      </c>
      <c r="F209" s="3" t="inlineStr"/>
      <c r="G209" s="3" t="inlineStr"/>
    </row>
    <row r="210">
      <c r="A210" t="inlineStr">
        <is>
          <t>복식부기</t>
        </is>
      </c>
      <c r="B210" t="inlineStr">
        <is>
          <t>프리복식</t>
        </is>
      </c>
      <c r="C210" t="inlineStr">
        <is>
          <t>V30</t>
        </is>
      </c>
      <c r="D210" t="inlineStr">
        <is>
          <t>5604924</t>
        </is>
      </c>
      <c r="E210" t="inlineStr">
        <is>
          <t>(라벨 없음)</t>
        </is>
      </c>
      <c r="F210" s="3" t="inlineStr"/>
      <c r="G210" s="3" t="inlineStr"/>
    </row>
    <row r="211">
      <c r="A211" t="inlineStr">
        <is>
          <t>복식부기</t>
        </is>
      </c>
      <c r="B211" t="inlineStr">
        <is>
          <t>프리복식</t>
        </is>
      </c>
      <c r="C211" t="inlineStr">
        <is>
          <t>W30</t>
        </is>
      </c>
      <c r="D211" t="inlineStr">
        <is>
          <t>560492</t>
        </is>
      </c>
      <c r="E211" t="inlineStr">
        <is>
          <t>(라벨 없음)</t>
        </is>
      </c>
      <c r="F211" s="3" t="inlineStr"/>
      <c r="G211" s="3" t="inlineStr"/>
    </row>
    <row r="212">
      <c r="A212" t="inlineStr">
        <is>
          <t>복식부기</t>
        </is>
      </c>
      <c r="B212" t="inlineStr">
        <is>
          <t>프리복식</t>
        </is>
      </c>
      <c r="C212" t="inlineStr">
        <is>
          <t>C31</t>
        </is>
      </c>
      <c r="D212" t="inlineStr">
        <is>
          <t>0</t>
        </is>
      </c>
      <c r="E212" t="inlineStr">
        <is>
          <t>←경로우대자</t>
        </is>
      </c>
      <c r="F212" s="3" t="inlineStr"/>
      <c r="G212" s="3" t="inlineStr"/>
    </row>
    <row r="213">
      <c r="A213" t="inlineStr">
        <is>
          <t>복식부기</t>
        </is>
      </c>
      <c r="B213" t="inlineStr">
        <is>
          <t>프리복식</t>
        </is>
      </c>
      <c r="C213" t="inlineStr">
        <is>
          <t>D35</t>
        </is>
      </c>
      <c r="D213">
        <f>2772900+3062660+2632200</f>
        <v/>
      </c>
      <c r="E213" t="inlineStr">
        <is>
          <t>←기타소득공제 / ↑=B34*C34</t>
        </is>
      </c>
      <c r="F213" s="3" t="inlineStr"/>
      <c r="G213" s="3" t="inlineStr"/>
    </row>
    <row r="214">
      <c r="A214" t="inlineStr">
        <is>
          <t>복식부기</t>
        </is>
      </c>
      <c r="B214" t="inlineStr">
        <is>
          <t>프리복식</t>
        </is>
      </c>
      <c r="C214" t="inlineStr">
        <is>
          <t>C42</t>
        </is>
      </c>
      <c r="D214" t="inlineStr">
        <is>
          <t>0</t>
        </is>
      </c>
      <c r="E214" t="inlineStr">
        <is>
          <t>←자녀공제(7세이상)</t>
        </is>
      </c>
      <c r="F214" s="3" t="inlineStr"/>
      <c r="G214" s="3" t="inlineStr"/>
    </row>
    <row r="215">
      <c r="A215" t="inlineStr">
        <is>
          <t>복식부기</t>
        </is>
      </c>
      <c r="B215" t="inlineStr">
        <is>
          <t>프리복식</t>
        </is>
      </c>
      <c r="C215" t="inlineStr">
        <is>
          <t>C43</t>
        </is>
      </c>
      <c r="D215" t="inlineStr">
        <is>
          <t>0</t>
        </is>
      </c>
      <c r="E215" t="inlineStr">
        <is>
          <t>←첫째(1)둘째(2)셋째(3)</t>
        </is>
      </c>
      <c r="F215" s="3" t="inlineStr"/>
      <c r="G215" s="3" t="inlineStr"/>
    </row>
    <row r="216">
      <c r="A216" t="inlineStr">
        <is>
          <t>복식부기</t>
        </is>
      </c>
      <c r="B216" t="inlineStr">
        <is>
          <t>프리복식</t>
        </is>
      </c>
      <c r="C216" t="inlineStr">
        <is>
          <t>B44</t>
        </is>
      </c>
      <c r="D216" t="inlineStr">
        <is>
          <t>0</t>
        </is>
      </c>
      <c r="E216" t="inlineStr">
        <is>
          <t>←연금저축</t>
        </is>
      </c>
      <c r="F216" s="3" t="inlineStr"/>
      <c r="G216" s="3" t="inlineStr"/>
    </row>
    <row r="217">
      <c r="A217" t="inlineStr">
        <is>
          <t>복식부기</t>
        </is>
      </c>
      <c r="B217" t="inlineStr">
        <is>
          <t>프리복식</t>
        </is>
      </c>
      <c r="C217" t="inlineStr">
        <is>
          <t>B45</t>
        </is>
      </c>
      <c r="D217" t="inlineStr">
        <is>
          <t>0</t>
        </is>
      </c>
      <c r="E217" t="inlineStr">
        <is>
          <t>←표준공제(사업)</t>
        </is>
      </c>
      <c r="F217" s="3" t="inlineStr"/>
      <c r="G217" s="3" t="inlineStr"/>
    </row>
    <row r="218">
      <c r="A218" t="inlineStr">
        <is>
          <t>복식부기</t>
        </is>
      </c>
      <c r="B218" t="inlineStr">
        <is>
          <t>프리복식</t>
        </is>
      </c>
      <c r="C218" t="inlineStr">
        <is>
          <t>B54</t>
        </is>
      </c>
      <c r="D218" t="inlineStr">
        <is>
          <t>복식부기</t>
        </is>
      </c>
      <c r="E218" t="inlineStr">
        <is>
          <t>←올해 안내문</t>
        </is>
      </c>
      <c r="F218" s="3" t="inlineStr"/>
      <c r="G218" s="3" t="inlineStr"/>
    </row>
    <row r="219">
      <c r="A219" t="inlineStr">
        <is>
          <t>복식부기</t>
        </is>
      </c>
      <c r="B219" t="inlineStr">
        <is>
          <t>프리복식</t>
        </is>
      </c>
      <c r="C219" t="inlineStr">
        <is>
          <t>F54</t>
        </is>
      </c>
      <c r="D219" t="inlineStr">
        <is>
          <t>간편장부</t>
        </is>
      </c>
      <c r="E219" t="inlineStr">
        <is>
          <t>←전년도 신고내용</t>
        </is>
      </c>
      <c r="F219" s="3" t="inlineStr"/>
      <c r="G219" s="3" t="inlineStr"/>
    </row>
    <row r="220">
      <c r="A220" t="inlineStr">
        <is>
          <t>복식부기</t>
        </is>
      </c>
      <c r="B220" t="inlineStr">
        <is>
          <t>프리복식</t>
        </is>
      </c>
      <c r="C220" t="inlineStr">
        <is>
          <t>F55</t>
        </is>
      </c>
      <c r="D220" t="inlineStr">
        <is>
          <t>56642000</t>
        </is>
      </c>
      <c r="E220" t="inlineStr">
        <is>
          <t>←사업수입금액(전) / ↑간편장부</t>
        </is>
      </c>
      <c r="F220" s="3" t="inlineStr"/>
      <c r="G220" s="3" t="inlineStr"/>
    </row>
    <row r="221">
      <c r="A221" t="inlineStr">
        <is>
          <t>복식부기</t>
        </is>
      </c>
      <c r="B221" t="inlineStr">
        <is>
          <t>프리복식</t>
        </is>
      </c>
      <c r="C221" t="inlineStr">
        <is>
          <t>J55</t>
        </is>
      </c>
      <c r="D221" t="inlineStr">
        <is>
          <t>해당</t>
        </is>
      </c>
      <c r="E221" t="inlineStr">
        <is>
          <t>←I유형 해당여부 / ↑=J49-J52</t>
        </is>
      </c>
      <c r="F221" s="3" t="inlineStr"/>
      <c r="G221" s="3" t="inlineStr"/>
    </row>
    <row r="222">
      <c r="A222" t="inlineStr">
        <is>
          <t>복식부기</t>
        </is>
      </c>
      <c r="B222" t="inlineStr">
        <is>
          <t>프리복식</t>
        </is>
      </c>
      <c r="C222" t="inlineStr">
        <is>
          <t>F56</t>
        </is>
      </c>
      <c r="D222" t="inlineStr">
        <is>
          <t>36295032</t>
        </is>
      </c>
      <c r="E222" t="inlineStr">
        <is>
          <t>←사업필요경비(전) / ↑간편장부</t>
        </is>
      </c>
      <c r="F222" s="3" t="inlineStr"/>
      <c r="G222" s="3" t="inlineStr"/>
    </row>
    <row r="223">
      <c r="A223" t="inlineStr">
        <is>
          <t>복식부기</t>
        </is>
      </c>
      <c r="B223" t="inlineStr">
        <is>
          <t>프리복식</t>
        </is>
      </c>
      <c r="C223" t="inlineStr">
        <is>
          <t>B59</t>
        </is>
      </c>
      <c r="D223" t="inlineStr">
        <is>
          <t>0</t>
        </is>
      </c>
      <c r="E223" t="inlineStr">
        <is>
          <t>←근로소득금액 / ↑=B57/B55</t>
        </is>
      </c>
      <c r="F223" s="3" t="inlineStr"/>
      <c r="G223" s="3" t="inlineStr"/>
    </row>
    <row r="224">
      <c r="A224" t="inlineStr">
        <is>
          <t>복식부기</t>
        </is>
      </c>
      <c r="B224" t="inlineStr">
        <is>
          <t>프리복식</t>
        </is>
      </c>
      <c r="C224" t="inlineStr">
        <is>
          <t>C59</t>
        </is>
      </c>
      <c r="D224" t="inlineStr">
        <is>
          <t>0</t>
        </is>
      </c>
      <c r="E224" t="inlineStr">
        <is>
          <t>←근로소득금액 / ↑=C57/C55</t>
        </is>
      </c>
      <c r="F224" s="3" t="inlineStr"/>
      <c r="G224" s="3" t="inlineStr"/>
    </row>
    <row r="225">
      <c r="A225" t="inlineStr">
        <is>
          <t>복식부기</t>
        </is>
      </c>
      <c r="B225" t="inlineStr">
        <is>
          <t>프리복식</t>
        </is>
      </c>
      <c r="C225" t="inlineStr">
        <is>
          <t>D59</t>
        </is>
      </c>
      <c r="D225" t="inlineStr">
        <is>
          <t>0</t>
        </is>
      </c>
      <c r="E225" t="inlineStr">
        <is>
          <t>←근로소득금액 / ↑=D57/D55</t>
        </is>
      </c>
      <c r="F225" s="3" t="inlineStr"/>
      <c r="G225" s="3" t="inlineStr"/>
    </row>
    <row r="226">
      <c r="A226" t="inlineStr">
        <is>
          <t>복식부기</t>
        </is>
      </c>
      <c r="B226" t="inlineStr">
        <is>
          <t>프리복식</t>
        </is>
      </c>
      <c r="C226" t="inlineStr">
        <is>
          <t>U59</t>
        </is>
      </c>
      <c r="D226" t="inlineStr">
        <is>
          <t>반영경비 합계</t>
        </is>
      </c>
      <c r="E226" t="inlineStr">
        <is>
          <t>↑기타경비</t>
        </is>
      </c>
      <c r="F226" s="3" t="inlineStr"/>
      <c r="G226" s="3" t="inlineStr"/>
    </row>
    <row r="227">
      <c r="A227" t="inlineStr">
        <is>
          <t>복식부기</t>
        </is>
      </c>
      <c r="B227" t="inlineStr">
        <is>
          <t>프리복식</t>
        </is>
      </c>
      <c r="C227" t="inlineStr">
        <is>
          <t>W59</t>
        </is>
      </c>
      <c r="D227">
        <f>SUM(W54:W58)</f>
        <v/>
      </c>
      <c r="E227" t="inlineStr">
        <is>
          <t>←반영경비 합계 / ↑=D14</t>
        </is>
      </c>
      <c r="F227" s="3" t="inlineStr"/>
      <c r="G227" s="3" t="inlineStr"/>
    </row>
    <row r="228">
      <c r="A228" t="inlineStr">
        <is>
          <t>복식부기</t>
        </is>
      </c>
      <c r="B228" t="inlineStr">
        <is>
          <t>프리복식</t>
        </is>
      </c>
      <c r="C228" t="inlineStr">
        <is>
          <t>B62</t>
        </is>
      </c>
      <c r="D228" t="inlineStr">
        <is>
          <t>0</t>
        </is>
      </c>
      <c r="E228" t="inlineStr">
        <is>
          <t>←기타소득금액</t>
        </is>
      </c>
      <c r="F228" s="3" t="inlineStr"/>
      <c r="G228" s="3" t="inlineStr"/>
    </row>
    <row r="229">
      <c r="A229" t="inlineStr">
        <is>
          <t>복식부기</t>
        </is>
      </c>
      <c r="B229" t="inlineStr">
        <is>
          <t>프리복식</t>
        </is>
      </c>
      <c r="C229" t="inlineStr">
        <is>
          <t>C62</t>
        </is>
      </c>
      <c r="D229" t="inlineStr">
        <is>
          <t>0</t>
        </is>
      </c>
      <c r="E229" t="inlineStr">
        <is>
          <t>←기타소득금액</t>
        </is>
      </c>
      <c r="F229" s="3" t="inlineStr"/>
      <c r="G229" s="3" t="inlineStr"/>
    </row>
    <row r="230">
      <c r="A230" t="inlineStr">
        <is>
          <t>복식부기</t>
        </is>
      </c>
      <c r="B230" t="inlineStr">
        <is>
          <t>프리복식</t>
        </is>
      </c>
      <c r="C230" t="inlineStr">
        <is>
          <t>D62</t>
        </is>
      </c>
      <c r="D230" t="inlineStr">
        <is>
          <t>0</t>
        </is>
      </c>
      <c r="E230" t="inlineStr">
        <is>
          <t>←기타소득금액</t>
        </is>
      </c>
      <c r="F230" s="3" t="inlineStr"/>
      <c r="G230" s="3" t="inlineStr"/>
    </row>
    <row r="231">
      <c r="A231" t="inlineStr">
        <is>
          <t>복식부기</t>
        </is>
      </c>
      <c r="B231" t="inlineStr">
        <is>
          <t>프리복식</t>
        </is>
      </c>
      <c r="C231" t="inlineStr">
        <is>
          <t>B63</t>
        </is>
      </c>
      <c r="D231" t="inlineStr">
        <is>
          <t>6496990</t>
        </is>
      </c>
      <c r="E231" t="inlineStr">
        <is>
          <t>←소득공제</t>
        </is>
      </c>
      <c r="F231" s="3" t="inlineStr"/>
      <c r="G231" s="3" t="inlineStr"/>
    </row>
    <row r="232">
      <c r="A232" t="inlineStr">
        <is>
          <t>복식부기</t>
        </is>
      </c>
      <c r="B232" t="inlineStr">
        <is>
          <t>프리복식</t>
        </is>
      </c>
      <c r="C232" t="inlineStr">
        <is>
          <t>C63</t>
        </is>
      </c>
      <c r="D232" t="inlineStr">
        <is>
          <t>6496990</t>
        </is>
      </c>
      <c r="E232" t="inlineStr">
        <is>
          <t>←소득공제</t>
        </is>
      </c>
      <c r="F232" s="3" t="inlineStr"/>
      <c r="G232" s="3" t="inlineStr"/>
    </row>
    <row r="233">
      <c r="A233" t="inlineStr">
        <is>
          <t>복식부기</t>
        </is>
      </c>
      <c r="B233" t="inlineStr">
        <is>
          <t>프리복식</t>
        </is>
      </c>
      <c r="C233" t="inlineStr">
        <is>
          <t>D63</t>
        </is>
      </c>
      <c r="D233" t="inlineStr">
        <is>
          <t>6496990</t>
        </is>
      </c>
      <c r="E233" t="inlineStr">
        <is>
          <t>←소득공제</t>
        </is>
      </c>
      <c r="F233" s="3" t="inlineStr"/>
      <c r="G233" s="3" t="inlineStr"/>
    </row>
    <row r="234">
      <c r="A234" t="inlineStr">
        <is>
          <t>복식부기</t>
        </is>
      </c>
      <c r="B234" t="inlineStr">
        <is>
          <t>프리복식</t>
        </is>
      </c>
      <c r="C234" t="inlineStr">
        <is>
          <t>F64</t>
        </is>
      </c>
      <c r="D234" t="inlineStr">
        <is>
          <t>14296628</t>
        </is>
      </c>
      <c r="E234" t="inlineStr">
        <is>
          <t>←과세표준</t>
        </is>
      </c>
      <c r="F234" s="3" t="inlineStr"/>
      <c r="G234" s="3" t="inlineStr"/>
    </row>
    <row r="235">
      <c r="A235" t="inlineStr">
        <is>
          <t>복식부기</t>
        </is>
      </c>
      <c r="B235" t="inlineStr">
        <is>
          <t>프리복식</t>
        </is>
      </c>
      <c r="C235" t="inlineStr">
        <is>
          <t>F65</t>
        </is>
      </c>
      <c r="D235" t="inlineStr">
        <is>
          <t>15</t>
        </is>
      </c>
      <c r="E235" t="inlineStr">
        <is>
          <t>←=VLOOKUP(D64,$L$2:$N$10,2,TRUE)</t>
        </is>
      </c>
      <c r="F235" s="3" t="inlineStr"/>
      <c r="G235" s="3" t="inlineStr"/>
    </row>
    <row r="236">
      <c r="A236" t="inlineStr">
        <is>
          <t>복식부기</t>
        </is>
      </c>
      <c r="B236" t="inlineStr">
        <is>
          <t>프리복식</t>
        </is>
      </c>
      <c r="C236" t="inlineStr">
        <is>
          <t>B68</t>
        </is>
      </c>
      <c r="D236" t="inlineStr">
        <is>
          <t>968627</t>
        </is>
      </c>
      <c r="E236" t="inlineStr">
        <is>
          <t>←세액공제 / ↑=B64*B65-B66</t>
        </is>
      </c>
      <c r="F236" s="3" t="inlineStr"/>
      <c r="G236" s="3" t="inlineStr"/>
    </row>
    <row r="237">
      <c r="A237" t="inlineStr">
        <is>
          <t>복식부기</t>
        </is>
      </c>
      <c r="B237" t="inlineStr">
        <is>
          <t>프리복식</t>
        </is>
      </c>
      <c r="C237" t="inlineStr">
        <is>
          <t>C68</t>
        </is>
      </c>
      <c r="D237" t="inlineStr">
        <is>
          <t>808304</t>
        </is>
      </c>
      <c r="E237" t="inlineStr">
        <is>
          <t>←세액공제 / ↑=C64*C65-C66</t>
        </is>
      </c>
      <c r="F237" s="3" t="inlineStr"/>
      <c r="G237" s="3" t="inlineStr"/>
    </row>
    <row r="238">
      <c r="A238" t="inlineStr">
        <is>
          <t>복식부기</t>
        </is>
      </c>
      <c r="B238" t="inlineStr">
        <is>
          <t>프리복식</t>
        </is>
      </c>
      <c r="C238" t="inlineStr">
        <is>
          <t>D68</t>
        </is>
      </c>
      <c r="D238" t="inlineStr">
        <is>
          <t>1564000</t>
        </is>
      </c>
      <c r="E238" t="inlineStr">
        <is>
          <t>←세액공제 / ↑=D64*D65-D66</t>
        </is>
      </c>
      <c r="F238" s="3" t="inlineStr"/>
      <c r="G238" s="3" t="inlineStr"/>
    </row>
    <row r="239">
      <c r="A239" t="inlineStr">
        <is>
          <t>복식부기</t>
        </is>
      </c>
      <c r="B239" t="inlineStr">
        <is>
          <t>프리복식</t>
        </is>
      </c>
      <c r="C239" t="inlineStr">
        <is>
          <t>U68</t>
        </is>
      </c>
      <c r="D239" t="inlineStr">
        <is>
          <t>수입금액</t>
        </is>
      </c>
      <c r="E239" t="inlineStr">
        <is>
          <t>↑합계</t>
        </is>
      </c>
      <c r="F239" s="3" t="inlineStr"/>
      <c r="G239" s="3" t="inlineStr"/>
    </row>
    <row r="240">
      <c r="A240" t="inlineStr">
        <is>
          <t>복식부기</t>
        </is>
      </c>
      <c r="B240" t="inlineStr">
        <is>
          <t>프리복식</t>
        </is>
      </c>
      <c r="C240" t="inlineStr">
        <is>
          <t>W68</t>
        </is>
      </c>
      <c r="D240">
        <f>D5</f>
        <v/>
      </c>
      <c r="E240" t="inlineStr">
        <is>
          <t>←수입금액 / ↑=SUM(W64:W66)</t>
        </is>
      </c>
      <c r="F240" s="3" t="inlineStr"/>
      <c r="G240" s="3" t="inlineStr"/>
    </row>
    <row r="241">
      <c r="A241" t="inlineStr">
        <is>
          <t>복식부기</t>
        </is>
      </c>
      <c r="B241" t="inlineStr">
        <is>
          <t>프리복식</t>
        </is>
      </c>
      <c r="C241" t="inlineStr">
        <is>
          <t>U69</t>
        </is>
      </c>
      <c r="D241" t="inlineStr">
        <is>
          <t>반영경비 소득률</t>
        </is>
      </c>
      <c r="E241" t="inlineStr">
        <is>
          <t>↑수입금액</t>
        </is>
      </c>
      <c r="F241" s="3" t="inlineStr"/>
      <c r="G241" s="3" t="inlineStr"/>
    </row>
    <row r="242">
      <c r="A242" t="inlineStr">
        <is>
          <t>복식부기</t>
        </is>
      </c>
      <c r="B242" t="inlineStr">
        <is>
          <t>프리복식</t>
        </is>
      </c>
      <c r="C242" t="inlineStr">
        <is>
          <t>W69</t>
        </is>
      </c>
      <c r="D242">
        <f>D17</f>
        <v/>
      </c>
      <c r="E242" t="inlineStr">
        <is>
          <t>←반영경비 소득률 / ↑=D5</t>
        </is>
      </c>
      <c r="F242" s="3" t="inlineStr"/>
      <c r="G242" s="3" t="inlineStr"/>
    </row>
    <row r="243">
      <c r="A243" t="inlineStr">
        <is>
          <t>복식부기</t>
        </is>
      </c>
      <c r="B243" t="inlineStr">
        <is>
          <t>프리복식</t>
        </is>
      </c>
      <c r="C243" t="inlineStr">
        <is>
          <t>B70</t>
        </is>
      </c>
      <c r="D243" t="inlineStr">
        <is>
          <t>2154780</t>
        </is>
      </c>
      <c r="E243" t="inlineStr">
        <is>
          <t>←기납부세액 / ↑=B67-B68</t>
        </is>
      </c>
      <c r="F243" s="3" t="inlineStr"/>
      <c r="G243" s="3" t="inlineStr"/>
    </row>
    <row r="244">
      <c r="A244" t="inlineStr">
        <is>
          <t>복식부기</t>
        </is>
      </c>
      <c r="B244" t="inlineStr">
        <is>
          <t>프리복식</t>
        </is>
      </c>
      <c r="C244" t="inlineStr">
        <is>
          <t>C70</t>
        </is>
      </c>
      <c r="D244" t="inlineStr">
        <is>
          <t>2154780</t>
        </is>
      </c>
      <c r="E244" t="inlineStr">
        <is>
          <t>←기납부세액 / ↑=C67-C68</t>
        </is>
      </c>
      <c r="F244" s="3" t="inlineStr"/>
      <c r="G244" s="3" t="inlineStr"/>
    </row>
    <row r="245">
      <c r="A245" t="inlineStr">
        <is>
          <t>복식부기</t>
        </is>
      </c>
      <c r="B245" t="inlineStr">
        <is>
          <t>프리복식</t>
        </is>
      </c>
      <c r="C245" t="inlineStr">
        <is>
          <t>D70</t>
        </is>
      </c>
      <c r="D245" t="inlineStr">
        <is>
          <t>2154780</t>
        </is>
      </c>
      <c r="E245" t="inlineStr">
        <is>
          <t>←기납부세액 / ↑=D67-D68</t>
        </is>
      </c>
      <c r="F245" s="3" t="inlineStr"/>
      <c r="G245" s="3" t="inlineStr"/>
    </row>
    <row r="246">
      <c r="A246" t="inlineStr">
        <is>
          <t>복식부기</t>
        </is>
      </c>
      <c r="B246" t="inlineStr">
        <is>
          <t>프리복식</t>
        </is>
      </c>
      <c r="C246" t="inlineStr">
        <is>
          <t>U72</t>
        </is>
      </c>
      <c r="D246" t="inlineStr">
        <is>
          <t>반영경비 과세표준 세액</t>
        </is>
      </c>
      <c r="E246" t="inlineStr">
        <is>
          <t>↑기준경비율 소득률</t>
        </is>
      </c>
      <c r="F246" s="3" t="inlineStr"/>
      <c r="G246" s="3" t="inlineStr"/>
    </row>
    <row r="247">
      <c r="A247" t="inlineStr">
        <is>
          <t>복식부기</t>
        </is>
      </c>
      <c r="B247" t="inlineStr">
        <is>
          <t>프리복식</t>
        </is>
      </c>
      <c r="C247" t="inlineStr">
        <is>
          <t>W72</t>
        </is>
      </c>
      <c r="D247">
        <f>B68</f>
        <v/>
      </c>
      <c r="E247" t="inlineStr">
        <is>
          <t>←반영경비 과세표준 세액 / ↑=1-H4*2.8</t>
        </is>
      </c>
      <c r="F247" s="3" t="inlineStr"/>
      <c r="G247" s="3" t="inlineStr"/>
    </row>
    <row r="248">
      <c r="A248" t="inlineStr">
        <is>
          <t>복식부기</t>
        </is>
      </c>
      <c r="B248" t="inlineStr">
        <is>
          <t>사업자복식</t>
        </is>
      </c>
      <c r="C248" t="inlineStr">
        <is>
          <t>D3</t>
        </is>
      </c>
      <c r="D248" t="inlineStr">
        <is>
          <t>오지혜</t>
        </is>
      </c>
      <c r="E248" t="inlineStr">
        <is>
          <t>←바나나공장 / ↑간편장부</t>
        </is>
      </c>
      <c r="F248" s="3" t="inlineStr"/>
      <c r="G248" s="3" t="inlineStr"/>
    </row>
    <row r="249">
      <c r="A249" t="inlineStr">
        <is>
          <t>복식부기</t>
        </is>
      </c>
      <c r="B249" t="inlineStr">
        <is>
          <t>사업자복식</t>
        </is>
      </c>
      <c r="C249" t="inlineStr">
        <is>
          <t>D4</t>
        </is>
      </c>
      <c r="D249" t="inlineStr">
        <is>
          <t>749914</t>
        </is>
      </c>
      <c r="E249" t="inlineStr">
        <is>
          <t>←=VLOOKUP(D4,'2022귀속업종코드'!$A$1:$I$1533,5,FALSE) / ↑오지혜</t>
        </is>
      </c>
      <c r="F249" s="3" t="inlineStr"/>
      <c r="G249" s="3" t="inlineStr"/>
    </row>
    <row r="250">
      <c r="A250" t="inlineStr">
        <is>
          <t>복식부기</t>
        </is>
      </c>
      <c r="B250" t="inlineStr">
        <is>
          <t>사업자복식</t>
        </is>
      </c>
      <c r="C250" t="inlineStr">
        <is>
          <t>D5</t>
        </is>
      </c>
      <c r="D250">
        <f>168749095+1470300</f>
        <v/>
      </c>
      <c r="E250" t="inlineStr">
        <is>
          <t>←수입금액 / ↑오지혜</t>
        </is>
      </c>
      <c r="F250" s="3" t="inlineStr"/>
      <c r="G250" s="3" t="inlineStr"/>
    </row>
    <row r="251">
      <c r="A251" t="inlineStr">
        <is>
          <t>복식부기</t>
        </is>
      </c>
      <c r="B251" t="inlineStr">
        <is>
          <t>사업자복식</t>
        </is>
      </c>
      <c r="C251" t="inlineStr">
        <is>
          <t>D7</t>
        </is>
      </c>
      <c r="D251" t="inlineStr">
        <is>
          <t>32912026</t>
        </is>
      </c>
      <c r="E251" t="inlineStr">
        <is>
          <t>←부가세신고 / ↑=SUM(D7:D16)</t>
        </is>
      </c>
      <c r="F251" s="3" t="inlineStr"/>
      <c r="G251" s="3" t="inlineStr"/>
    </row>
    <row r="252">
      <c r="A252" t="inlineStr">
        <is>
          <t>복식부기</t>
        </is>
      </c>
      <c r="B252" t="inlineStr">
        <is>
          <t>사업자복식</t>
        </is>
      </c>
      <c r="C252" t="inlineStr">
        <is>
          <t>D8</t>
        </is>
      </c>
      <c r="D252" t="inlineStr">
        <is>
          <t>0</t>
        </is>
      </c>
      <c r="E252" t="inlineStr">
        <is>
          <t>← / ↑=SUM(D7:D16)</t>
        </is>
      </c>
      <c r="F252" s="3" t="inlineStr"/>
      <c r="G252" s="3" t="inlineStr"/>
    </row>
    <row r="253">
      <c r="A253" t="inlineStr">
        <is>
          <t>복식부기</t>
        </is>
      </c>
      <c r="B253" t="inlineStr">
        <is>
          <t>사업자복식</t>
        </is>
      </c>
      <c r="C253" t="inlineStr">
        <is>
          <t>D11</t>
        </is>
      </c>
      <c r="D253" t="inlineStr">
        <is>
          <t>0</t>
        </is>
      </c>
      <c r="E253" t="inlineStr">
        <is>
          <t>←감가상각비</t>
        </is>
      </c>
      <c r="F253" s="3" t="inlineStr"/>
      <c r="G253" s="3" t="inlineStr"/>
    </row>
    <row r="254">
      <c r="A254" t="inlineStr">
        <is>
          <t>복식부기</t>
        </is>
      </c>
      <c r="B254" t="inlineStr">
        <is>
          <t>사업자복식</t>
        </is>
      </c>
      <c r="C254" t="inlineStr">
        <is>
          <t>A21</t>
        </is>
      </c>
      <c r="D254" t="inlineStr">
        <is>
          <t>근로소득</t>
        </is>
      </c>
      <c r="E254" t="inlineStr">
        <is>
          <t>↑Target 소득률</t>
        </is>
      </c>
      <c r="F254" s="3" t="inlineStr"/>
      <c r="G254" s="3" t="inlineStr"/>
    </row>
    <row r="255">
      <c r="A255" t="inlineStr">
        <is>
          <t>복식부기</t>
        </is>
      </c>
      <c r="B255" t="inlineStr">
        <is>
          <t>사업자복식</t>
        </is>
      </c>
      <c r="C255" t="inlineStr">
        <is>
          <t>D21</t>
        </is>
      </c>
      <c r="D255" t="inlineStr">
        <is>
          <t>30960000</t>
        </is>
      </c>
      <c r="E255" t="inlineStr">
        <is>
          <t>←근로소득 / ↑=1-J4</t>
        </is>
      </c>
      <c r="F255" s="3" t="inlineStr"/>
      <c r="G255" s="3" t="inlineStr"/>
    </row>
    <row r="256">
      <c r="A256" t="inlineStr">
        <is>
          <t>복식부기</t>
        </is>
      </c>
      <c r="B256" t="inlineStr">
        <is>
          <t>사업자복식</t>
        </is>
      </c>
      <c r="C256" t="inlineStr">
        <is>
          <t>A22</t>
        </is>
      </c>
      <c r="D256" t="inlineStr">
        <is>
          <t>이월결손금</t>
        </is>
      </c>
      <c r="E256" t="inlineStr">
        <is>
          <t>↑근로소득</t>
        </is>
      </c>
      <c r="F256" s="3" t="inlineStr"/>
      <c r="G256" s="3" t="inlineStr"/>
    </row>
    <row r="257">
      <c r="A257" t="inlineStr">
        <is>
          <t>복식부기</t>
        </is>
      </c>
      <c r="B257" t="inlineStr">
        <is>
          <t>사업자복식</t>
        </is>
      </c>
      <c r="C257" t="inlineStr">
        <is>
          <t>U26</t>
        </is>
      </c>
      <c r="D257" t="inlineStr">
        <is>
          <t>지급처별지급금액</t>
        </is>
      </c>
      <c r="E257" t="inlineStr">
        <is>
          <t>↑원천징수영수증 입력</t>
        </is>
      </c>
      <c r="F257" s="3" t="inlineStr"/>
      <c r="G257" s="3" t="inlineStr"/>
    </row>
    <row r="258">
      <c r="A258" t="inlineStr">
        <is>
          <t>복식부기</t>
        </is>
      </c>
      <c r="B258" t="inlineStr">
        <is>
          <t>사업자복식</t>
        </is>
      </c>
      <c r="C258" t="inlineStr">
        <is>
          <t>V26</t>
        </is>
      </c>
      <c r="D258" t="inlineStr">
        <is>
          <t>소득세</t>
        </is>
      </c>
      <c r="E258" t="inlineStr">
        <is>
          <t>←지급처별지급금액</t>
        </is>
      </c>
      <c r="F258" s="3" t="inlineStr"/>
      <c r="G258" s="3" t="inlineStr"/>
    </row>
    <row r="259">
      <c r="A259" t="inlineStr">
        <is>
          <t>복식부기</t>
        </is>
      </c>
      <c r="B259" t="inlineStr">
        <is>
          <t>사업자복식</t>
        </is>
      </c>
      <c r="C259" t="inlineStr">
        <is>
          <t>W26</t>
        </is>
      </c>
      <c r="D259" t="inlineStr">
        <is>
          <t>지방세</t>
        </is>
      </c>
      <c r="E259" t="inlineStr">
        <is>
          <t>←소득세</t>
        </is>
      </c>
      <c r="F259" s="3" t="inlineStr"/>
      <c r="G259" s="3" t="inlineStr"/>
    </row>
    <row r="260">
      <c r="A260" t="inlineStr">
        <is>
          <t>복식부기</t>
        </is>
      </c>
      <c r="B260" t="inlineStr">
        <is>
          <t>사업자복식</t>
        </is>
      </c>
      <c r="C260" t="inlineStr">
        <is>
          <t>X26</t>
        </is>
      </c>
      <c r="D260" t="inlineStr">
        <is>
          <t>기납부세액(소득세)</t>
        </is>
      </c>
      <c r="E260" t="inlineStr">
        <is>
          <t>←지방세 / ↑소득세신고서 입력</t>
        </is>
      </c>
      <c r="F260" s="3" t="inlineStr"/>
      <c r="G260" s="3" t="inlineStr"/>
    </row>
    <row r="261">
      <c r="A261" t="inlineStr">
        <is>
          <t>복식부기</t>
        </is>
      </c>
      <c r="B261" t="inlineStr">
        <is>
          <t>사업자복식</t>
        </is>
      </c>
      <c r="C261" t="inlineStr">
        <is>
          <t>Y26</t>
        </is>
      </c>
      <c r="D261" t="inlineStr">
        <is>
          <t>기납부세액(지방세)</t>
        </is>
      </c>
      <c r="E261" t="inlineStr">
        <is>
          <t>←기납부세액(소득세)</t>
        </is>
      </c>
      <c r="F261" s="3" t="inlineStr"/>
      <c r="G261" s="3" t="inlineStr"/>
    </row>
    <row r="262">
      <c r="A262" t="inlineStr">
        <is>
          <t>복식부기</t>
        </is>
      </c>
      <c r="B262" t="inlineStr">
        <is>
          <t>사업자복식</t>
        </is>
      </c>
      <c r="C262" t="inlineStr">
        <is>
          <t>U27</t>
        </is>
      </c>
      <c r="D262" t="inlineStr">
        <is>
          <t>3949933</t>
        </is>
      </c>
      <c r="E262" t="inlineStr">
        <is>
          <t>↑지급처별지급금액</t>
        </is>
      </c>
      <c r="F262" s="3" t="inlineStr"/>
      <c r="G262" s="3" t="inlineStr"/>
    </row>
    <row r="263">
      <c r="A263" t="inlineStr">
        <is>
          <t>복식부기</t>
        </is>
      </c>
      <c r="B263" t="inlineStr">
        <is>
          <t>사업자복식</t>
        </is>
      </c>
      <c r="C263" t="inlineStr">
        <is>
          <t>V27</t>
        </is>
      </c>
      <c r="D263" t="inlineStr">
        <is>
          <t>118450</t>
        </is>
      </c>
      <c r="E263" t="inlineStr">
        <is>
          <t>↑소득세</t>
        </is>
      </c>
      <c r="F263" s="3" t="inlineStr"/>
      <c r="G263" s="3" t="inlineStr"/>
    </row>
    <row r="264">
      <c r="A264" t="inlineStr">
        <is>
          <t>복식부기</t>
        </is>
      </c>
      <c r="B264" t="inlineStr">
        <is>
          <t>사업자복식</t>
        </is>
      </c>
      <c r="C264" t="inlineStr">
        <is>
          <t>W27</t>
        </is>
      </c>
      <c r="D264" t="inlineStr">
        <is>
          <t>11780</t>
        </is>
      </c>
      <c r="E264" t="inlineStr">
        <is>
          <t>↑지방세</t>
        </is>
      </c>
      <c r="F264" s="3" t="inlineStr"/>
      <c r="G264" s="3" t="inlineStr"/>
    </row>
    <row r="265">
      <c r="A265" t="inlineStr">
        <is>
          <t>복식부기</t>
        </is>
      </c>
      <c r="B265" t="inlineStr">
        <is>
          <t>사업자복식</t>
        </is>
      </c>
      <c r="C265" t="inlineStr">
        <is>
          <t>X27</t>
        </is>
      </c>
      <c r="D265">
        <f>2172180+5604924</f>
        <v/>
      </c>
      <c r="E265" t="inlineStr">
        <is>
          <t>↑기납부세액(소득세)</t>
        </is>
      </c>
      <c r="F265" s="3" t="inlineStr"/>
      <c r="G265" s="3" t="inlineStr"/>
    </row>
    <row r="266">
      <c r="A266" t="inlineStr">
        <is>
          <t>복식부기</t>
        </is>
      </c>
      <c r="B266" t="inlineStr">
        <is>
          <t>사업자복식</t>
        </is>
      </c>
      <c r="C266" t="inlineStr">
        <is>
          <t>Y27</t>
        </is>
      </c>
      <c r="D266" t="inlineStr">
        <is>
          <t>0</t>
        </is>
      </c>
      <c r="E266" t="inlineStr">
        <is>
          <t>←=2172180+5604924 / ↑기납부세액(지방세)</t>
        </is>
      </c>
      <c r="F266" s="3" t="inlineStr"/>
      <c r="G266" s="3" t="inlineStr"/>
    </row>
    <row r="267">
      <c r="A267" t="inlineStr">
        <is>
          <t>복식부기</t>
        </is>
      </c>
      <c r="B267" t="inlineStr">
        <is>
          <t>사업자복식</t>
        </is>
      </c>
      <c r="C267" t="inlineStr">
        <is>
          <t>C28</t>
        </is>
      </c>
      <c r="D267" t="inlineStr">
        <is>
          <t>1</t>
        </is>
      </c>
      <c r="E267" t="inlineStr">
        <is>
          <t>←본인</t>
        </is>
      </c>
      <c r="F267" s="3" t="inlineStr"/>
      <c r="G267" s="3" t="inlineStr"/>
    </row>
    <row r="268">
      <c r="A268" t="inlineStr">
        <is>
          <t>복식부기</t>
        </is>
      </c>
      <c r="B268" t="inlineStr">
        <is>
          <t>사업자복식</t>
        </is>
      </c>
      <c r="C268" t="inlineStr">
        <is>
          <t>U28</t>
        </is>
      </c>
      <c r="D268" t="inlineStr">
        <is>
          <t>42348589</t>
        </is>
      </c>
      <c r="E268" t="inlineStr">
        <is>
          <t>↑지급처별지급금액</t>
        </is>
      </c>
      <c r="F268" s="3" t="inlineStr"/>
      <c r="G268" s="3" t="inlineStr"/>
    </row>
    <row r="269">
      <c r="A269" t="inlineStr">
        <is>
          <t>복식부기</t>
        </is>
      </c>
      <c r="B269" t="inlineStr">
        <is>
          <t>사업자복식</t>
        </is>
      </c>
      <c r="C269" t="inlineStr">
        <is>
          <t>V28</t>
        </is>
      </c>
      <c r="D269" t="inlineStr">
        <is>
          <t>1270410</t>
        </is>
      </c>
      <c r="E269" t="inlineStr">
        <is>
          <t>↑소득세</t>
        </is>
      </c>
      <c r="F269" s="3" t="inlineStr"/>
      <c r="G269" s="3" t="inlineStr"/>
    </row>
    <row r="270">
      <c r="A270" t="inlineStr">
        <is>
          <t>복식부기</t>
        </is>
      </c>
      <c r="B270" t="inlineStr">
        <is>
          <t>사업자복식</t>
        </is>
      </c>
      <c r="C270" t="inlineStr">
        <is>
          <t>W28</t>
        </is>
      </c>
      <c r="D270" t="inlineStr">
        <is>
          <t>126980</t>
        </is>
      </c>
      <c r="E270" t="inlineStr">
        <is>
          <t>↑지방세</t>
        </is>
      </c>
      <c r="F270" s="3" t="inlineStr"/>
      <c r="G270" s="3" t="inlineStr"/>
    </row>
    <row r="271">
      <c r="A271" t="inlineStr">
        <is>
          <t>복식부기</t>
        </is>
      </c>
      <c r="B271" t="inlineStr">
        <is>
          <t>사업자복식</t>
        </is>
      </c>
      <c r="C271" t="inlineStr">
        <is>
          <t>C29</t>
        </is>
      </c>
      <c r="D271" t="inlineStr">
        <is>
          <t>0</t>
        </is>
      </c>
      <c r="E271" t="inlineStr">
        <is>
          <t>←배우자</t>
        </is>
      </c>
      <c r="F271" s="3" t="inlineStr"/>
      <c r="G271" s="3" t="inlineStr"/>
    </row>
    <row r="272">
      <c r="A272" t="inlineStr">
        <is>
          <t>복식부기</t>
        </is>
      </c>
      <c r="B272" t="inlineStr">
        <is>
          <t>사업자복식</t>
        </is>
      </c>
      <c r="C272" t="inlineStr">
        <is>
          <t>U29</t>
        </is>
      </c>
      <c r="D272" t="inlineStr">
        <is>
          <t>15000000</t>
        </is>
      </c>
      <c r="E272" t="inlineStr">
        <is>
          <t>↑지급처별지급금액</t>
        </is>
      </c>
      <c r="F272" s="3" t="inlineStr"/>
      <c r="G272" s="3" t="inlineStr"/>
    </row>
    <row r="273">
      <c r="A273" t="inlineStr">
        <is>
          <t>복식부기</t>
        </is>
      </c>
      <c r="B273" t="inlineStr">
        <is>
          <t>사업자복식</t>
        </is>
      </c>
      <c r="C273" t="inlineStr">
        <is>
          <t>V29</t>
        </is>
      </c>
      <c r="D273" t="inlineStr">
        <is>
          <t>450000</t>
        </is>
      </c>
      <c r="E273" t="inlineStr">
        <is>
          <t>↑소득세</t>
        </is>
      </c>
      <c r="F273" s="3" t="inlineStr"/>
      <c r="G273" s="3" t="inlineStr"/>
    </row>
    <row r="274">
      <c r="A274" t="inlineStr">
        <is>
          <t>복식부기</t>
        </is>
      </c>
      <c r="B274" t="inlineStr">
        <is>
          <t>사업자복식</t>
        </is>
      </c>
      <c r="C274" t="inlineStr">
        <is>
          <t>W29</t>
        </is>
      </c>
      <c r="D274" t="inlineStr">
        <is>
          <t>45000</t>
        </is>
      </c>
      <c r="E274" t="inlineStr">
        <is>
          <t>↑지방세</t>
        </is>
      </c>
      <c r="F274" s="3" t="inlineStr"/>
      <c r="G274" s="3" t="inlineStr"/>
    </row>
    <row r="275">
      <c r="A275" t="inlineStr">
        <is>
          <t>복식부기</t>
        </is>
      </c>
      <c r="B275" t="inlineStr">
        <is>
          <t>사업자복식</t>
        </is>
      </c>
      <c r="C275" t="inlineStr">
        <is>
          <t>C30</t>
        </is>
      </c>
      <c r="D275" t="inlineStr">
        <is>
          <t>0</t>
        </is>
      </c>
      <c r="E275" t="inlineStr">
        <is>
          <t>←자녀</t>
        </is>
      </c>
      <c r="F275" s="3" t="inlineStr"/>
      <c r="G275" s="3" t="inlineStr"/>
    </row>
    <row r="276">
      <c r="A276" t="inlineStr">
        <is>
          <t>복식부기</t>
        </is>
      </c>
      <c r="B276" t="inlineStr">
        <is>
          <t>사업자복식</t>
        </is>
      </c>
      <c r="C276" t="inlineStr">
        <is>
          <t>U30</t>
        </is>
      </c>
      <c r="D276" t="inlineStr">
        <is>
          <t>11112050</t>
        </is>
      </c>
      <c r="E276" t="inlineStr">
        <is>
          <t>(라벨 없음)</t>
        </is>
      </c>
      <c r="F276" s="3" t="inlineStr"/>
      <c r="G276" s="3" t="inlineStr"/>
    </row>
    <row r="277">
      <c r="A277" t="inlineStr">
        <is>
          <t>복식부기</t>
        </is>
      </c>
      <c r="B277" t="inlineStr">
        <is>
          <t>사업자복식</t>
        </is>
      </c>
      <c r="C277" t="inlineStr">
        <is>
          <t>V30</t>
        </is>
      </c>
      <c r="D277" t="inlineStr">
        <is>
          <t>333320</t>
        </is>
      </c>
      <c r="E277" t="inlineStr">
        <is>
          <t>(라벨 없음)</t>
        </is>
      </c>
      <c r="F277" s="3" t="inlineStr"/>
      <c r="G277" s="3" t="inlineStr"/>
    </row>
    <row r="278">
      <c r="A278" t="inlineStr">
        <is>
          <t>복식부기</t>
        </is>
      </c>
      <c r="B278" t="inlineStr">
        <is>
          <t>사업자복식</t>
        </is>
      </c>
      <c r="C278" t="inlineStr">
        <is>
          <t>W30</t>
        </is>
      </c>
      <c r="D278" t="inlineStr">
        <is>
          <t>33300</t>
        </is>
      </c>
      <c r="E278" t="inlineStr">
        <is>
          <t>(라벨 없음)</t>
        </is>
      </c>
      <c r="F278" s="3" t="inlineStr"/>
      <c r="G278" s="3" t="inlineStr"/>
    </row>
    <row r="279">
      <c r="A279" t="inlineStr">
        <is>
          <t>복식부기</t>
        </is>
      </c>
      <c r="B279" t="inlineStr">
        <is>
          <t>사업자복식</t>
        </is>
      </c>
      <c r="C279" t="inlineStr">
        <is>
          <t>C31</t>
        </is>
      </c>
      <c r="D279" t="inlineStr">
        <is>
          <t>0</t>
        </is>
      </c>
      <c r="E279" t="inlineStr">
        <is>
          <t>←부모님</t>
        </is>
      </c>
      <c r="F279" s="3" t="inlineStr"/>
      <c r="G279" s="3" t="inlineStr"/>
    </row>
    <row r="280">
      <c r="A280" t="inlineStr">
        <is>
          <t>복식부기</t>
        </is>
      </c>
      <c r="B280" t="inlineStr">
        <is>
          <t>사업자복식</t>
        </is>
      </c>
      <c r="C280" t="inlineStr">
        <is>
          <t>V32</t>
        </is>
      </c>
      <c r="D280" t="inlineStr">
        <is>
          <t>5604924</t>
        </is>
      </c>
      <c r="E280" t="inlineStr">
        <is>
          <t>(라벨 없음)</t>
        </is>
      </c>
      <c r="F280" s="3" t="inlineStr"/>
      <c r="G280" s="3" t="inlineStr"/>
    </row>
    <row r="281">
      <c r="A281" t="inlineStr">
        <is>
          <t>복식부기</t>
        </is>
      </c>
      <c r="B281" t="inlineStr">
        <is>
          <t>사업자복식</t>
        </is>
      </c>
      <c r="C281" t="inlineStr">
        <is>
          <t>W32</t>
        </is>
      </c>
      <c r="D281" t="inlineStr">
        <is>
          <t>560492</t>
        </is>
      </c>
      <c r="E281" t="inlineStr">
        <is>
          <t>(라벨 없음)</t>
        </is>
      </c>
      <c r="F281" s="3" t="inlineStr"/>
      <c r="G281" s="3" t="inlineStr"/>
    </row>
    <row r="282">
      <c r="A282" t="inlineStr">
        <is>
          <t>복식부기</t>
        </is>
      </c>
      <c r="B282" t="inlineStr">
        <is>
          <t>사업자복식</t>
        </is>
      </c>
      <c r="C282" t="inlineStr">
        <is>
          <t>C33</t>
        </is>
      </c>
      <c r="D282" t="inlineStr">
        <is>
          <t>0</t>
        </is>
      </c>
      <c r="E282" t="inlineStr">
        <is>
          <t>←경로우대자</t>
        </is>
      </c>
      <c r="F282" s="3" t="inlineStr"/>
      <c r="G282" s="3" t="inlineStr"/>
    </row>
    <row r="283">
      <c r="A283" t="inlineStr">
        <is>
          <t>복식부기</t>
        </is>
      </c>
      <c r="B283" t="inlineStr">
        <is>
          <t>사업자복식</t>
        </is>
      </c>
      <c r="C283" t="inlineStr">
        <is>
          <t>D37</t>
        </is>
      </c>
      <c r="D283">
        <f>2772900+3062660+2632200</f>
        <v/>
      </c>
      <c r="E283" t="inlineStr">
        <is>
          <t>←기타소득공제 / ↑=B36*C36</t>
        </is>
      </c>
      <c r="F283" s="3" t="inlineStr"/>
      <c r="G283" s="3" t="inlineStr"/>
    </row>
    <row r="284">
      <c r="A284" t="inlineStr">
        <is>
          <t>복식부기</t>
        </is>
      </c>
      <c r="B284" t="inlineStr">
        <is>
          <t>사업자복식</t>
        </is>
      </c>
      <c r="C284" t="inlineStr">
        <is>
          <t>C44</t>
        </is>
      </c>
      <c r="D284" t="inlineStr">
        <is>
          <t>0</t>
        </is>
      </c>
      <c r="E284" t="inlineStr">
        <is>
          <t>←자녀공제(7세이상)</t>
        </is>
      </c>
      <c r="F284" s="3" t="inlineStr"/>
      <c r="G284" s="3" t="inlineStr"/>
    </row>
    <row r="285">
      <c r="A285" t="inlineStr">
        <is>
          <t>복식부기</t>
        </is>
      </c>
      <c r="B285" t="inlineStr">
        <is>
          <t>사업자복식</t>
        </is>
      </c>
      <c r="C285" t="inlineStr">
        <is>
          <t>C45</t>
        </is>
      </c>
      <c r="D285" t="inlineStr">
        <is>
          <t>0</t>
        </is>
      </c>
      <c r="E285" t="inlineStr">
        <is>
          <t>←첫째(1)둘째(2)셋째(3)</t>
        </is>
      </c>
      <c r="F285" s="3" t="inlineStr"/>
      <c r="G285" s="3" t="inlineStr"/>
    </row>
    <row r="286">
      <c r="A286" t="inlineStr">
        <is>
          <t>복식부기</t>
        </is>
      </c>
      <c r="B286" t="inlineStr">
        <is>
          <t>사업자복식</t>
        </is>
      </c>
      <c r="C286" t="inlineStr">
        <is>
          <t>B46</t>
        </is>
      </c>
      <c r="D286" t="inlineStr">
        <is>
          <t>0</t>
        </is>
      </c>
      <c r="E286" t="inlineStr">
        <is>
          <t>←연금저축</t>
        </is>
      </c>
      <c r="F286" s="3" t="inlineStr"/>
      <c r="G286" s="3" t="inlineStr"/>
    </row>
    <row r="287">
      <c r="A287" t="inlineStr">
        <is>
          <t>복식부기</t>
        </is>
      </c>
      <c r="B287" t="inlineStr">
        <is>
          <t>사업자복식</t>
        </is>
      </c>
      <c r="C287" t="inlineStr">
        <is>
          <t>B47</t>
        </is>
      </c>
      <c r="D287" t="inlineStr">
        <is>
          <t>0</t>
        </is>
      </c>
      <c r="E287" t="inlineStr">
        <is>
          <t>←표준공제(사업)</t>
        </is>
      </c>
      <c r="F287" s="3" t="inlineStr"/>
      <c r="G287" s="3" t="inlineStr"/>
    </row>
    <row r="288">
      <c r="A288" t="inlineStr">
        <is>
          <t>복식부기</t>
        </is>
      </c>
      <c r="B288" t="inlineStr">
        <is>
          <t>사업자복식</t>
        </is>
      </c>
      <c r="C288" t="inlineStr">
        <is>
          <t>B56</t>
        </is>
      </c>
      <c r="D288" t="inlineStr">
        <is>
          <t>복식부기</t>
        </is>
      </c>
      <c r="E288" t="inlineStr">
        <is>
          <t>←올해 안내문</t>
        </is>
      </c>
      <c r="F288" s="3" t="inlineStr"/>
      <c r="G288" s="3" t="inlineStr"/>
    </row>
    <row r="289">
      <c r="A289" t="inlineStr">
        <is>
          <t>복식부기</t>
        </is>
      </c>
      <c r="B289" t="inlineStr">
        <is>
          <t>사업자복식</t>
        </is>
      </c>
      <c r="C289" t="inlineStr">
        <is>
          <t>F56</t>
        </is>
      </c>
      <c r="D289" t="inlineStr">
        <is>
          <t>복식부기</t>
        </is>
      </c>
      <c r="E289" t="inlineStr">
        <is>
          <t>←전년도 신고내용</t>
        </is>
      </c>
      <c r="F289" s="3" t="inlineStr"/>
      <c r="G289" s="3" t="inlineStr"/>
    </row>
    <row r="290">
      <c r="A290" t="inlineStr">
        <is>
          <t>복식부기</t>
        </is>
      </c>
      <c r="B290" t="inlineStr">
        <is>
          <t>사업자복식</t>
        </is>
      </c>
      <c r="C290" t="inlineStr">
        <is>
          <t>F57</t>
        </is>
      </c>
      <c r="D290" t="inlineStr">
        <is>
          <t>303764407</t>
        </is>
      </c>
      <c r="E290" t="inlineStr">
        <is>
          <t>←사업수입금액(전) / ↑복식부기</t>
        </is>
      </c>
      <c r="F290" s="3" t="inlineStr"/>
      <c r="G290" s="3" t="inlineStr"/>
    </row>
    <row r="291">
      <c r="A291" t="inlineStr">
        <is>
          <t>복식부기</t>
        </is>
      </c>
      <c r="B291" t="inlineStr">
        <is>
          <t>사업자복식</t>
        </is>
      </c>
      <c r="C291" t="inlineStr">
        <is>
          <t>J57</t>
        </is>
      </c>
      <c r="D291" t="inlineStr">
        <is>
          <t>미해당</t>
        </is>
      </c>
      <c r="E291" t="inlineStr">
        <is>
          <t>←I유형 해당여부 / ↑=J51-J54</t>
        </is>
      </c>
      <c r="F291" s="3" t="inlineStr"/>
      <c r="G291" s="3" t="inlineStr"/>
    </row>
    <row r="292">
      <c r="A292" t="inlineStr">
        <is>
          <t>복식부기</t>
        </is>
      </c>
      <c r="B292" t="inlineStr">
        <is>
          <t>사업자복식</t>
        </is>
      </c>
      <c r="C292" t="inlineStr">
        <is>
          <t>F58</t>
        </is>
      </c>
      <c r="D292" t="inlineStr">
        <is>
          <t>0</t>
        </is>
      </c>
      <c r="E292" t="inlineStr">
        <is>
          <t>←사업필요경비(전) / ↑복식부기</t>
        </is>
      </c>
      <c r="F292" s="3" t="inlineStr"/>
      <c r="G292" s="3" t="inlineStr"/>
    </row>
    <row r="293">
      <c r="A293" t="inlineStr">
        <is>
          <t>복식부기</t>
        </is>
      </c>
      <c r="B293" t="inlineStr">
        <is>
          <t>사업자복식</t>
        </is>
      </c>
      <c r="C293" t="inlineStr">
        <is>
          <t>B61</t>
        </is>
      </c>
      <c r="D293" t="inlineStr">
        <is>
          <t>30960000</t>
        </is>
      </c>
      <c r="E293" t="inlineStr">
        <is>
          <t>←근로소득금액 / ↑=B59/B57</t>
        </is>
      </c>
      <c r="F293" s="3" t="inlineStr"/>
      <c r="G293" s="3" t="inlineStr"/>
    </row>
    <row r="294">
      <c r="A294" t="inlineStr">
        <is>
          <t>복식부기</t>
        </is>
      </c>
      <c r="B294" t="inlineStr">
        <is>
          <t>사업자복식</t>
        </is>
      </c>
      <c r="C294" t="inlineStr">
        <is>
          <t>C61</t>
        </is>
      </c>
      <c r="D294" t="inlineStr">
        <is>
          <t>30960000</t>
        </is>
      </c>
      <c r="E294" t="inlineStr">
        <is>
          <t>←근로소득금액 / ↑=C59/C57</t>
        </is>
      </c>
      <c r="F294" s="3" t="inlineStr"/>
      <c r="G294" s="3" t="inlineStr"/>
    </row>
    <row r="295">
      <c r="A295" t="inlineStr">
        <is>
          <t>복식부기</t>
        </is>
      </c>
      <c r="B295" t="inlineStr">
        <is>
          <t>사업자복식</t>
        </is>
      </c>
      <c r="C295" t="inlineStr">
        <is>
          <t>D61</t>
        </is>
      </c>
      <c r="D295" t="inlineStr">
        <is>
          <t>30960000</t>
        </is>
      </c>
      <c r="E295" t="inlineStr">
        <is>
          <t>←근로소득금액 / ↑=D59/D57</t>
        </is>
      </c>
      <c r="F295" s="3" t="inlineStr"/>
      <c r="G295" s="3" t="inlineStr"/>
    </row>
    <row r="296">
      <c r="A296" t="inlineStr">
        <is>
          <t>복식부기</t>
        </is>
      </c>
      <c r="B296" t="inlineStr">
        <is>
          <t>사업자복식</t>
        </is>
      </c>
      <c r="C296" t="inlineStr">
        <is>
          <t>U61</t>
        </is>
      </c>
      <c r="D296" t="inlineStr">
        <is>
          <t>반영경비 합계</t>
        </is>
      </c>
      <c r="E296" t="inlineStr">
        <is>
          <t>↑기타경비</t>
        </is>
      </c>
      <c r="F296" s="3" t="inlineStr"/>
      <c r="G296" s="3" t="inlineStr"/>
    </row>
    <row r="297">
      <c r="A297" t="inlineStr">
        <is>
          <t>복식부기</t>
        </is>
      </c>
      <c r="B297" t="inlineStr">
        <is>
          <t>사업자복식</t>
        </is>
      </c>
      <c r="C297" t="inlineStr">
        <is>
          <t>W61</t>
        </is>
      </c>
      <c r="D297">
        <f>SUM(W56:W60)</f>
        <v/>
      </c>
      <c r="E297" t="inlineStr">
        <is>
          <t>←반영경비 합계 / ↑=D16</t>
        </is>
      </c>
      <c r="F297" s="3" t="inlineStr"/>
      <c r="G297" s="3" t="inlineStr"/>
    </row>
    <row r="298">
      <c r="A298" t="inlineStr">
        <is>
          <t>복식부기</t>
        </is>
      </c>
      <c r="B298" t="inlineStr">
        <is>
          <t>사업자복식</t>
        </is>
      </c>
      <c r="C298" t="inlineStr">
        <is>
          <t>B64</t>
        </is>
      </c>
      <c r="D298" t="inlineStr">
        <is>
          <t>0</t>
        </is>
      </c>
      <c r="E298" t="inlineStr">
        <is>
          <t>←기타소득금액</t>
        </is>
      </c>
      <c r="F298" s="3" t="inlineStr"/>
      <c r="G298" s="3" t="inlineStr"/>
    </row>
    <row r="299">
      <c r="A299" t="inlineStr">
        <is>
          <t>복식부기</t>
        </is>
      </c>
      <c r="B299" t="inlineStr">
        <is>
          <t>사업자복식</t>
        </is>
      </c>
      <c r="C299" t="inlineStr">
        <is>
          <t>C64</t>
        </is>
      </c>
      <c r="D299" t="inlineStr">
        <is>
          <t>0</t>
        </is>
      </c>
      <c r="E299" t="inlineStr">
        <is>
          <t>←기타소득금액</t>
        </is>
      </c>
      <c r="F299" s="3" t="inlineStr"/>
      <c r="G299" s="3" t="inlineStr"/>
    </row>
    <row r="300">
      <c r="A300" t="inlineStr">
        <is>
          <t>복식부기</t>
        </is>
      </c>
      <c r="B300" t="inlineStr">
        <is>
          <t>사업자복식</t>
        </is>
      </c>
      <c r="C300" t="inlineStr">
        <is>
          <t>D64</t>
        </is>
      </c>
      <c r="D300" t="inlineStr">
        <is>
          <t>0</t>
        </is>
      </c>
      <c r="E300" t="inlineStr">
        <is>
          <t>←기타소득금액</t>
        </is>
      </c>
      <c r="F300" s="3" t="inlineStr"/>
      <c r="G300" s="3" t="inlineStr"/>
    </row>
    <row r="301">
      <c r="A301" t="inlineStr">
        <is>
          <t>복식부기</t>
        </is>
      </c>
      <c r="B301" t="inlineStr">
        <is>
          <t>사업자복식</t>
        </is>
      </c>
      <c r="C301" t="inlineStr">
        <is>
          <t>B65</t>
        </is>
      </c>
      <c r="D301" t="inlineStr">
        <is>
          <t>9879782</t>
        </is>
      </c>
      <c r="E301" t="inlineStr">
        <is>
          <t>←소득공제</t>
        </is>
      </c>
      <c r="F301" s="3" t="inlineStr"/>
      <c r="G301" s="3" t="inlineStr"/>
    </row>
    <row r="302">
      <c r="A302" t="inlineStr">
        <is>
          <t>복식부기</t>
        </is>
      </c>
      <c r="B302" t="inlineStr">
        <is>
          <t>사업자복식</t>
        </is>
      </c>
      <c r="C302" t="inlineStr">
        <is>
          <t>C65</t>
        </is>
      </c>
      <c r="D302" t="inlineStr">
        <is>
          <t>9879782</t>
        </is>
      </c>
      <c r="E302" t="inlineStr">
        <is>
          <t>←소득공제</t>
        </is>
      </c>
      <c r="F302" s="3" t="inlineStr"/>
      <c r="G302" s="3" t="inlineStr"/>
    </row>
    <row r="303">
      <c r="A303" t="inlineStr">
        <is>
          <t>복식부기</t>
        </is>
      </c>
      <c r="B303" t="inlineStr">
        <is>
          <t>사업자복식</t>
        </is>
      </c>
      <c r="C303" t="inlineStr">
        <is>
          <t>D65</t>
        </is>
      </c>
      <c r="D303" t="inlineStr">
        <is>
          <t>9879782</t>
        </is>
      </c>
      <c r="E303" t="inlineStr">
        <is>
          <t>←소득공제</t>
        </is>
      </c>
      <c r="F303" s="3" t="inlineStr"/>
      <c r="G303" s="3" t="inlineStr"/>
    </row>
    <row r="304">
      <c r="A304" t="inlineStr">
        <is>
          <t>복식부기</t>
        </is>
      </c>
      <c r="B304" t="inlineStr">
        <is>
          <t>사업자복식</t>
        </is>
      </c>
      <c r="C304" t="inlineStr">
        <is>
          <t>B70</t>
        </is>
      </c>
      <c r="D304" t="inlineStr">
        <is>
          <t>2033681</t>
        </is>
      </c>
      <c r="E304" t="inlineStr">
        <is>
          <t>←세액공제 / ↑=B66*B67-B68</t>
        </is>
      </c>
      <c r="F304" s="3" t="inlineStr"/>
      <c r="G304" s="3" t="inlineStr"/>
    </row>
    <row r="305">
      <c r="A305" t="inlineStr">
        <is>
          <t>복식부기</t>
        </is>
      </c>
      <c r="B305" t="inlineStr">
        <is>
          <t>사업자복식</t>
        </is>
      </c>
      <c r="C305" t="inlineStr">
        <is>
          <t>C70</t>
        </is>
      </c>
      <c r="D305" t="inlineStr">
        <is>
          <t>2033681</t>
        </is>
      </c>
      <c r="E305" t="inlineStr">
        <is>
          <t>←세액공제 / ↑=C66*C67-C68</t>
        </is>
      </c>
      <c r="F305" s="3" t="inlineStr"/>
      <c r="G305" s="3" t="inlineStr"/>
    </row>
    <row r="306">
      <c r="A306" t="inlineStr">
        <is>
          <t>복식부기</t>
        </is>
      </c>
      <c r="B306" t="inlineStr">
        <is>
          <t>사업자복식</t>
        </is>
      </c>
      <c r="C306" t="inlineStr">
        <is>
          <t>D70</t>
        </is>
      </c>
      <c r="D306" t="inlineStr">
        <is>
          <t>2033681</t>
        </is>
      </c>
      <c r="E306" t="inlineStr">
        <is>
          <t>←세액공제 / ↑=D66*D67-D68</t>
        </is>
      </c>
      <c r="F306" s="3" t="inlineStr"/>
      <c r="G306" s="3" t="inlineStr"/>
    </row>
    <row r="307">
      <c r="A307" t="inlineStr">
        <is>
          <t>복식부기</t>
        </is>
      </c>
      <c r="B307" t="inlineStr">
        <is>
          <t>사업자복식</t>
        </is>
      </c>
      <c r="C307" t="inlineStr">
        <is>
          <t>U70</t>
        </is>
      </c>
      <c r="D307" t="inlineStr">
        <is>
          <t>수입금액</t>
        </is>
      </c>
      <c r="E307" t="inlineStr">
        <is>
          <t>↑합계</t>
        </is>
      </c>
      <c r="F307" s="3" t="inlineStr"/>
      <c r="G307" s="3" t="inlineStr"/>
    </row>
    <row r="308">
      <c r="A308" t="inlineStr">
        <is>
          <t>복식부기</t>
        </is>
      </c>
      <c r="B308" t="inlineStr">
        <is>
          <t>사업자복식</t>
        </is>
      </c>
      <c r="C308" t="inlineStr">
        <is>
          <t>W70</t>
        </is>
      </c>
      <c r="D308">
        <f>D5</f>
        <v/>
      </c>
      <c r="E308" t="inlineStr">
        <is>
          <t>←수입금액 / ↑=SUM(W66:W68)</t>
        </is>
      </c>
      <c r="F308" s="3" t="inlineStr"/>
      <c r="G308" s="3" t="inlineStr"/>
    </row>
    <row r="309">
      <c r="A309" t="inlineStr">
        <is>
          <t>복식부기</t>
        </is>
      </c>
      <c r="B309" t="inlineStr">
        <is>
          <t>사업자복식</t>
        </is>
      </c>
      <c r="C309" t="inlineStr">
        <is>
          <t>U71</t>
        </is>
      </c>
      <c r="D309" t="inlineStr">
        <is>
          <t>반영경비 소득률</t>
        </is>
      </c>
      <c r="E309" t="inlineStr">
        <is>
          <t>↑수입금액</t>
        </is>
      </c>
      <c r="F309" s="3" t="inlineStr"/>
      <c r="G309" s="3" t="inlineStr"/>
    </row>
    <row r="310">
      <c r="A310" t="inlineStr">
        <is>
          <t>복식부기</t>
        </is>
      </c>
      <c r="B310" t="inlineStr">
        <is>
          <t>사업자복식</t>
        </is>
      </c>
      <c r="C310" t="inlineStr">
        <is>
          <t>W71</t>
        </is>
      </c>
      <c r="D310">
        <f>D19</f>
        <v/>
      </c>
      <c r="E310" t="inlineStr">
        <is>
          <t>←반영경비 소득률 / ↑=D5</t>
        </is>
      </c>
      <c r="F310" s="3" t="inlineStr"/>
      <c r="G310" s="3" t="inlineStr"/>
    </row>
    <row r="311">
      <c r="A311" t="inlineStr">
        <is>
          <t>복식부기</t>
        </is>
      </c>
      <c r="B311" t="inlineStr">
        <is>
          <t>사업자복식</t>
        </is>
      </c>
      <c r="C311" t="inlineStr">
        <is>
          <t>B72</t>
        </is>
      </c>
      <c r="D311" t="inlineStr">
        <is>
          <t>42656000</t>
        </is>
      </c>
      <c r="E311" t="inlineStr">
        <is>
          <t>←기납부세액 / ↑=B69-B70</t>
        </is>
      </c>
      <c r="F311" s="3" t="inlineStr"/>
      <c r="G311" s="3" t="inlineStr"/>
    </row>
    <row r="312">
      <c r="A312" t="inlineStr">
        <is>
          <t>복식부기</t>
        </is>
      </c>
      <c r="B312" t="inlineStr">
        <is>
          <t>사업자복식</t>
        </is>
      </c>
      <c r="C312" t="inlineStr">
        <is>
          <t>C72</t>
        </is>
      </c>
      <c r="D312" t="inlineStr">
        <is>
          <t>42656000</t>
        </is>
      </c>
      <c r="E312" t="inlineStr">
        <is>
          <t>←기납부세액 / ↑=C69-C70</t>
        </is>
      </c>
      <c r="F312" s="3" t="inlineStr"/>
      <c r="G312" s="3" t="inlineStr"/>
    </row>
    <row r="313">
      <c r="A313" t="inlineStr">
        <is>
          <t>복식부기</t>
        </is>
      </c>
      <c r="B313" t="inlineStr">
        <is>
          <t>사업자복식</t>
        </is>
      </c>
      <c r="C313" t="inlineStr">
        <is>
          <t>D72</t>
        </is>
      </c>
      <c r="D313" t="inlineStr">
        <is>
          <t>42656000</t>
        </is>
      </c>
      <c r="E313" t="inlineStr">
        <is>
          <t>←기납부세액 / ↑=D69-D70</t>
        </is>
      </c>
      <c r="F313" s="3" t="inlineStr"/>
      <c r="G313" s="3" t="inlineStr"/>
    </row>
    <row r="314">
      <c r="A314" t="inlineStr">
        <is>
          <t>복식부기</t>
        </is>
      </c>
      <c r="B314" t="inlineStr">
        <is>
          <t>사업자복식</t>
        </is>
      </c>
      <c r="C314" t="inlineStr">
        <is>
          <t>U74</t>
        </is>
      </c>
      <c r="D314" t="inlineStr">
        <is>
          <t>반영경비 과세표준 세액</t>
        </is>
      </c>
      <c r="E314" t="inlineStr">
        <is>
          <t>↑기준경비율 소득률</t>
        </is>
      </c>
      <c r="F314" s="3" t="inlineStr"/>
      <c r="G314" s="3" t="inlineStr"/>
    </row>
    <row r="315">
      <c r="A315" t="inlineStr">
        <is>
          <t>복식부기</t>
        </is>
      </c>
      <c r="B315" t="inlineStr">
        <is>
          <t>사업자복식</t>
        </is>
      </c>
      <c r="C315" t="inlineStr">
        <is>
          <t>W74</t>
        </is>
      </c>
      <c r="D315">
        <f>B70</f>
        <v/>
      </c>
      <c r="E315" t="inlineStr">
        <is>
          <t>←반영경비 과세표준 세액 / ↑=1-H4*2.8</t>
        </is>
      </c>
      <c r="F315" s="3" t="inlineStr"/>
      <c r="G315" s="3" t="inlineStr"/>
    </row>
    <row r="316">
      <c r="A316" t="inlineStr">
        <is>
          <t>복식부기</t>
        </is>
      </c>
      <c r="B316" t="inlineStr">
        <is>
          <t>사업자복식</t>
        </is>
      </c>
      <c r="C316" t="inlineStr">
        <is>
          <t>G80</t>
        </is>
      </c>
      <c r="D316">
        <f>SUM(E80:F80)</f>
        <v/>
      </c>
      <c r="E316" t="inlineStr">
        <is>
          <t>←=F78-F79</t>
        </is>
      </c>
      <c r="F316" s="3" t="inlineStr"/>
      <c r="G3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2026-04-26T00:23:59Z</dcterms:created>
  <dcterms:modified xmlns:dcterms="http://purl.org/dc/terms/" xmlns:xsi="http://www.w3.org/2001/XMLSchema-instance" xsi:type="dcterms:W3CDTF">2026-04-26T00:23:59Z</dcterms:modified>
</cp:coreProperties>
</file>