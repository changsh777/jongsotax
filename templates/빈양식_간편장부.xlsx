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280" windowHeight="1215" tabRatio="600" firstSheet="0" activeTab="2" autoFilterDateGrouping="1"/>
  </bookViews>
  <sheets>
    <sheet xmlns:r="http://schemas.openxmlformats.org/officeDocument/2006/relationships" name="참조" sheetId="1" state="visible" r:id="rId1"/>
    <sheet xmlns:r="http://schemas.openxmlformats.org/officeDocument/2006/relationships" name="업종코드" sheetId="2" state="visible" r:id="rId2"/>
    <sheet xmlns:r="http://schemas.openxmlformats.org/officeDocument/2006/relationships" name="프리" sheetId="3" state="visible" r:id="rId3"/>
    <sheet xmlns:r="http://schemas.openxmlformats.org/officeDocument/2006/relationships" name="프리+프리" sheetId="4" state="visible" r:id="rId4"/>
    <sheet xmlns:r="http://schemas.openxmlformats.org/officeDocument/2006/relationships" name="사업자+프리" sheetId="5" state="visible" r:id="rId5"/>
    <sheet xmlns:r="http://schemas.openxmlformats.org/officeDocument/2006/relationships" name="사업자+사업자" sheetId="6" state="visible" r:id="rId6"/>
  </sheets>
  <definedNames/>
  <calcPr calcId="145621" fullCalcOnLoad="1"/>
</workbook>
</file>

<file path=xl/styles.xml><?xml version="1.0" encoding="utf-8"?>
<styleSheet xmlns="http://schemas.openxmlformats.org/spreadsheetml/2006/main">
  <numFmts count="4">
    <numFmt numFmtId="164" formatCode="_-* #,##0_-;\-* #,##0_-;_-* &quot;-&quot;_-;_-@_-"/>
    <numFmt numFmtId="165" formatCode="#,##0_);[Red]\(#,##0\)"/>
    <numFmt numFmtId="166" formatCode="0.0"/>
    <numFmt numFmtId="167" formatCode="0.0000"/>
  </numFmts>
  <fonts count="16">
    <font>
      <name val="맑은 고딕"/>
      <charset val="129"/>
      <family val="3"/>
      <color theme="1"/>
      <sz val="11"/>
      <scheme val="minor"/>
    </font>
    <font>
      <name val="맑은 고딕"/>
      <charset val="129"/>
      <family val="3"/>
      <sz val="8"/>
    </font>
    <font>
      <name val="맑은 고딕"/>
      <charset val="129"/>
      <family val="3"/>
      <color theme="1"/>
      <sz val="11"/>
      <scheme val="minor"/>
    </font>
    <font>
      <name val="맑은 고딕"/>
      <charset val="129"/>
      <family val="3"/>
      <color theme="0"/>
      <sz val="11"/>
      <scheme val="minor"/>
    </font>
    <font>
      <name val="맑은 고딕"/>
      <charset val="129"/>
      <family val="3"/>
      <b val="1"/>
      <color theme="0"/>
      <sz val="11"/>
      <scheme val="minor"/>
    </font>
    <font>
      <name val="맑은 고딕"/>
      <charset val="129"/>
      <family val="3"/>
      <b val="1"/>
      <color theme="1"/>
      <sz val="11"/>
      <scheme val="minor"/>
    </font>
    <font>
      <name val="맑은 고딕"/>
      <charset val="129"/>
      <family val="3"/>
      <b val="1"/>
      <color rgb="FFFF0000"/>
      <sz val="11"/>
      <scheme val="minor"/>
    </font>
    <font>
      <name val="맑은 고딕"/>
      <charset val="129"/>
      <family val="3"/>
      <b val="1"/>
      <color rgb="FF00B0F0"/>
      <sz val="11"/>
      <scheme val="minor"/>
    </font>
    <font>
      <name val="맑은 고딕"/>
      <charset val="129"/>
      <family val="3"/>
      <b val="1"/>
      <sz val="11"/>
      <scheme val="minor"/>
    </font>
    <font>
      <name val="맑은 고딕"/>
      <charset val="129"/>
      <family val="3"/>
      <sz val="8"/>
      <scheme val="minor"/>
    </font>
    <font>
      <name val="돋움체"/>
      <charset val="129"/>
      <family val="3"/>
      <sz val="10"/>
    </font>
    <font>
      <name val="맑은 고딕"/>
      <charset val="129"/>
      <family val="3"/>
      <color theme="1"/>
      <sz val="8"/>
      <scheme val="minor"/>
    </font>
    <font>
      <name val="맑은 고딕"/>
      <charset val="129"/>
      <family val="3"/>
      <color rgb="FF00B0F0"/>
      <sz val="11"/>
      <scheme val="minor"/>
    </font>
    <font>
      <name val="맑은 고딕"/>
      <charset val="129"/>
      <family val="3"/>
      <sz val="11"/>
      <scheme val="major"/>
    </font>
    <font>
      <name val="돋움"/>
      <charset val="129"/>
      <family val="3"/>
      <sz val="8"/>
    </font>
    <font>
      <name val="맑은 고딕"/>
      <family val="2"/>
      <sz val="11"/>
      <scheme val="major"/>
    </font>
  </fonts>
  <fills count="7">
    <fill>
      <patternFill/>
    </fill>
    <fill>
      <patternFill patternType="gray125"/>
    </fill>
    <fill>
      <patternFill patternType="solid">
        <fgColor theme="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indexed="9"/>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4">
    <xf numFmtId="0" fontId="2" fillId="0" borderId="0" applyAlignment="1">
      <alignment vertical="center"/>
    </xf>
    <xf numFmtId="41" fontId="2" fillId="0" borderId="0" applyAlignment="1">
      <alignment vertical="center"/>
    </xf>
    <xf numFmtId="41" fontId="2" fillId="0" borderId="0" applyAlignment="1">
      <alignment vertical="center"/>
    </xf>
    <xf numFmtId="0" fontId="10" fillId="0" borderId="0"/>
  </cellStyleXfs>
  <cellXfs count="123">
    <xf numFmtId="0" fontId="0" fillId="0" borderId="0" applyAlignment="1" pivotButton="0" quotePrefix="0" xfId="0">
      <alignment vertical="center"/>
    </xf>
    <xf numFmtId="0" fontId="5" fillId="0" borderId="1" applyAlignment="1" pivotButton="0" quotePrefix="0" xfId="0">
      <alignment horizontal="center" vertical="center"/>
    </xf>
    <xf numFmtId="0" fontId="0" fillId="0" borderId="0" applyAlignment="1" pivotButton="0" quotePrefix="0" xfId="0">
      <alignment horizontal="center" vertical="center"/>
    </xf>
    <xf numFmtId="0" fontId="0" fillId="0" borderId="1" applyAlignment="1" pivotButton="0" quotePrefix="0" xfId="0">
      <alignment horizontal="center" vertical="center"/>
    </xf>
    <xf numFmtId="164" fontId="2" fillId="0" borderId="1" applyAlignment="1" pivotButton="0" quotePrefix="0" xfId="1">
      <alignment horizontal="center" vertical="center"/>
    </xf>
    <xf numFmtId="0" fontId="3" fillId="2" borderId="1" applyAlignment="1" pivotButton="0" quotePrefix="0" xfId="0">
      <alignment horizontal="center" vertical="center"/>
    </xf>
    <xf numFmtId="164" fontId="3" fillId="2" borderId="1" applyAlignment="1" pivotButton="0" quotePrefix="0" xfId="1">
      <alignment horizontal="center" vertical="center"/>
    </xf>
    <xf numFmtId="0" fontId="6" fillId="0" borderId="1" applyAlignment="1" pivotButton="0" quotePrefix="0" xfId="0">
      <alignment horizontal="center" vertical="center"/>
    </xf>
    <xf numFmtId="0" fontId="7" fillId="0" borderId="1" applyAlignment="1" pivotButton="0" quotePrefix="0" xfId="0">
      <alignment horizontal="center" vertical="center"/>
    </xf>
    <xf numFmtId="164" fontId="0" fillId="0" borderId="1" applyAlignment="1" pivotButton="0" quotePrefix="0" xfId="0">
      <alignment horizontal="center" vertical="center"/>
    </xf>
    <xf numFmtId="0" fontId="0" fillId="0" borderId="1" applyAlignment="1" pivotButton="0" quotePrefix="0" xfId="0">
      <alignment vertical="center"/>
    </xf>
    <xf numFmtId="164" fontId="2" fillId="3" borderId="1" applyAlignment="1" pivotButton="0" quotePrefix="0" xfId="1">
      <alignment horizontal="center" vertical="center"/>
    </xf>
    <xf numFmtId="0" fontId="5" fillId="3" borderId="1" applyAlignment="1" pivotButton="0" quotePrefix="0" xfId="0">
      <alignment horizontal="center" vertical="center"/>
    </xf>
    <xf numFmtId="164" fontId="5" fillId="3" borderId="1" applyAlignment="1" pivotButton="0" quotePrefix="0" xfId="1">
      <alignment horizontal="center" vertical="center"/>
    </xf>
    <xf numFmtId="164" fontId="2" fillId="0" borderId="1" applyAlignment="1" pivotButton="0" quotePrefix="0" xfId="1">
      <alignment horizontal="center" vertical="center"/>
    </xf>
    <xf numFmtId="0" fontId="4" fillId="5" borderId="0" applyAlignment="1" pivotButton="0" quotePrefix="0" xfId="0">
      <alignment horizontal="center" vertical="center"/>
    </xf>
    <xf numFmtId="0" fontId="8" fillId="3" borderId="0" applyAlignment="1" pivotButton="0" quotePrefix="0" xfId="0">
      <alignment horizontal="center" vertical="center"/>
    </xf>
    <xf numFmtId="0" fontId="3" fillId="2" borderId="0" applyAlignment="1" pivotButton="0" quotePrefix="0" xfId="0">
      <alignment horizontal="center" vertical="center"/>
    </xf>
    <xf numFmtId="0" fontId="5" fillId="0" borderId="1" applyAlignment="1" pivotButton="0" quotePrefix="0" xfId="0">
      <alignment vertical="center"/>
    </xf>
    <xf numFmtId="164" fontId="2" fillId="0" borderId="1" applyAlignment="1" pivotButton="0" quotePrefix="0" xfId="2">
      <alignment vertical="center"/>
    </xf>
    <xf numFmtId="10" fontId="0" fillId="0" borderId="1" applyAlignment="1" pivotButton="0" quotePrefix="0" xfId="0">
      <alignment vertical="center"/>
    </xf>
    <xf numFmtId="9" fontId="0" fillId="0" borderId="1" applyAlignment="1" pivotButton="0" quotePrefix="0" xfId="0">
      <alignment vertical="center"/>
    </xf>
    <xf numFmtId="164" fontId="2" fillId="0" borderId="1" applyAlignment="1" pivotButton="0" quotePrefix="0" xfId="2">
      <alignment vertical="center"/>
    </xf>
    <xf numFmtId="164" fontId="0" fillId="3" borderId="1" applyAlignment="1" pivotButton="0" quotePrefix="0" xfId="1">
      <alignment horizontal="center" vertical="center"/>
    </xf>
    <xf numFmtId="164" fontId="7" fillId="3" borderId="1" applyAlignment="1" pivotButton="0" quotePrefix="0" xfId="1">
      <alignment horizontal="center" vertical="center"/>
    </xf>
    <xf numFmtId="164" fontId="6" fillId="3" borderId="1" applyAlignment="1" pivotButton="0" quotePrefix="0" xfId="1">
      <alignment horizontal="center" vertical="center"/>
    </xf>
    <xf numFmtId="49" fontId="0" fillId="3" borderId="1" applyAlignment="1" pivotButton="0" quotePrefix="0" xfId="0">
      <alignment horizontal="center" vertical="center"/>
    </xf>
    <xf numFmtId="0" fontId="11" fillId="0" borderId="1" applyAlignment="1" pivotButton="0" quotePrefix="0" xfId="0">
      <alignment horizontal="center" vertical="center"/>
    </xf>
    <xf numFmtId="0" fontId="12" fillId="0" borderId="1" applyAlignment="1" pivotButton="0" quotePrefix="0" xfId="0">
      <alignment horizontal="center" vertical="center"/>
    </xf>
    <xf numFmtId="0" fontId="5" fillId="0" borderId="5" applyAlignment="1" pivotButton="0" quotePrefix="0" xfId="0">
      <alignment horizontal="center" vertical="center"/>
    </xf>
    <xf numFmtId="0" fontId="0" fillId="0" borderId="5" applyAlignment="1" pivotButton="0" quotePrefix="0" xfId="0">
      <alignment horizontal="center" vertical="center"/>
    </xf>
    <xf numFmtId="49" fontId="0" fillId="3" borderId="5" applyAlignment="1" pivotButton="0" quotePrefix="0" xfId="0">
      <alignment horizontal="center" vertical="center"/>
    </xf>
    <xf numFmtId="164" fontId="3" fillId="2" borderId="5" applyAlignment="1" pivotButton="0" quotePrefix="0" xfId="1">
      <alignment horizontal="center" vertical="center"/>
    </xf>
    <xf numFmtId="164" fontId="2" fillId="3" borderId="5" applyAlignment="1" pivotButton="0" quotePrefix="0" xfId="1">
      <alignment horizontal="center" vertical="center"/>
    </xf>
    <xf numFmtId="164" fontId="2" fillId="0" borderId="5" applyAlignment="1" pivotButton="0" quotePrefix="0" xfId="1">
      <alignment horizontal="center" vertical="center"/>
    </xf>
    <xf numFmtId="164" fontId="0" fillId="3" borderId="5" applyAlignment="1" pivotButton="0" quotePrefix="0" xfId="1">
      <alignment horizontal="center" vertical="center"/>
    </xf>
    <xf numFmtId="0" fontId="0" fillId="0" borderId="8" applyAlignment="1" pivotButton="0" quotePrefix="0" xfId="0">
      <alignment horizontal="center" vertical="center"/>
    </xf>
    <xf numFmtId="0" fontId="4" fillId="5" borderId="9" applyAlignment="1" pivotButton="0" quotePrefix="0" xfId="0">
      <alignment horizontal="center" vertical="center"/>
    </xf>
    <xf numFmtId="0" fontId="5" fillId="0" borderId="10" applyAlignment="1" pivotButton="0" quotePrefix="0" xfId="0">
      <alignment horizontal="center" vertical="center"/>
    </xf>
    <xf numFmtId="0" fontId="5" fillId="0" borderId="11" applyAlignment="1" pivotButton="0" quotePrefix="0" xfId="0">
      <alignment horizontal="center" vertical="center"/>
    </xf>
    <xf numFmtId="0" fontId="0" fillId="0" borderId="10" applyAlignment="1" pivotButton="0" quotePrefix="0" xfId="0">
      <alignment horizontal="center" vertical="center"/>
    </xf>
    <xf numFmtId="0" fontId="0" fillId="0" borderId="11" applyAlignment="1" pivotButton="0" quotePrefix="0" xfId="0">
      <alignment horizontal="center" vertical="center"/>
    </xf>
    <xf numFmtId="0" fontId="11" fillId="0" borderId="10" applyAlignment="1" pivotButton="0" quotePrefix="0" xfId="0">
      <alignment horizontal="center" vertical="center"/>
    </xf>
    <xf numFmtId="164" fontId="3" fillId="2" borderId="10" applyAlignment="1" pivotButton="0" quotePrefix="0" xfId="1">
      <alignment horizontal="center" vertical="center"/>
    </xf>
    <xf numFmtId="164" fontId="2" fillId="0" borderId="10" applyAlignment="1" pivotButton="0" quotePrefix="0" xfId="1">
      <alignment horizontal="center" vertical="center"/>
    </xf>
    <xf numFmtId="164" fontId="2" fillId="0" borderId="10" applyAlignment="1" pivotButton="0" quotePrefix="0" xfId="1">
      <alignment horizontal="center" vertical="center"/>
    </xf>
    <xf numFmtId="164" fontId="2" fillId="3" borderId="10" applyAlignment="1" pivotButton="0" quotePrefix="0" xfId="1">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4" applyAlignment="1" pivotButton="0" quotePrefix="0" xfId="0">
      <alignment horizontal="center" vertical="center"/>
    </xf>
    <xf numFmtId="0" fontId="6" fillId="3" borderId="11" applyAlignment="1" pivotButton="0" quotePrefix="0" xfId="0">
      <alignment horizontal="center" vertical="center"/>
    </xf>
    <xf numFmtId="0" fontId="6" fillId="4" borderId="2" applyAlignment="1" pivotButton="0" quotePrefix="0" xfId="0">
      <alignment horizontal="center" vertical="center"/>
    </xf>
    <xf numFmtId="164" fontId="6" fillId="4" borderId="1" applyAlignment="1" pivotButton="0" quotePrefix="0" xfId="0">
      <alignment horizontal="center" vertical="center"/>
    </xf>
    <xf numFmtId="165" fontId="6" fillId="4" borderId="2" applyAlignment="1" pivotButton="0" quotePrefix="0" xfId="0">
      <alignment horizontal="center" vertical="center"/>
    </xf>
    <xf numFmtId="0" fontId="6" fillId="4" borderId="1" applyAlignment="1" pivotButton="0" quotePrefix="0" xfId="0">
      <alignment horizontal="center" vertical="center"/>
    </xf>
    <xf numFmtId="165" fontId="6" fillId="4" borderId="1" applyAlignment="1" pivotButton="0" quotePrefix="0" xfId="0">
      <alignment horizontal="center" vertical="center"/>
    </xf>
    <xf numFmtId="164" fontId="6" fillId="4" borderId="7" applyAlignment="1" pivotButton="0" quotePrefix="0" xfId="0">
      <alignment horizontal="center" vertical="center"/>
    </xf>
    <xf numFmtId="164" fontId="6" fillId="4" borderId="10" applyAlignment="1" pivotButton="0" quotePrefix="0" xfId="0">
      <alignment horizontal="center" vertical="center"/>
    </xf>
    <xf numFmtId="0" fontId="6" fillId="3" borderId="1" applyAlignment="1" pivotButton="0" quotePrefix="0" xfId="0">
      <alignment horizontal="center" vertical="center"/>
    </xf>
    <xf numFmtId="164" fontId="12" fillId="0" borderId="1" applyAlignment="1" pivotButton="0" quotePrefix="0" xfId="1">
      <alignment horizontal="center" vertical="center"/>
    </xf>
    <xf numFmtId="164" fontId="7" fillId="0" borderId="1" applyAlignment="1" pivotButton="0" quotePrefix="0" xfId="1">
      <alignment horizontal="center" vertical="center"/>
    </xf>
    <xf numFmtId="164" fontId="0" fillId="0" borderId="1" applyAlignment="1" pivotButton="0" quotePrefix="0" xfId="1">
      <alignment horizontal="center" vertical="center"/>
    </xf>
    <xf numFmtId="164" fontId="0" fillId="0" borderId="1" applyAlignment="1" pivotButton="0" quotePrefix="0" xfId="1">
      <alignment vertical="center"/>
    </xf>
    <xf numFmtId="10" fontId="0" fillId="0" borderId="1" applyAlignment="1" pivotButton="0" quotePrefix="0" xfId="0">
      <alignment vertical="center"/>
    </xf>
    <xf numFmtId="0" fontId="13" fillId="0" borderId="15" applyAlignment="1" pivotButton="0" quotePrefix="0" xfId="0">
      <alignment horizontal="center" vertical="center" wrapText="1"/>
    </xf>
    <xf numFmtId="0" fontId="13" fillId="6" borderId="15" applyAlignment="1" pivotButton="0" quotePrefix="0" xfId="0">
      <alignment horizontal="center" vertical="center"/>
    </xf>
    <xf numFmtId="0" fontId="0" fillId="0" borderId="0" pivotButton="0" quotePrefix="0" xfId="0"/>
    <xf numFmtId="166" fontId="13" fillId="0" borderId="15" applyAlignment="1" pivotButton="0" quotePrefix="0" xfId="0">
      <alignment horizontal="center" vertical="center" wrapText="1"/>
    </xf>
    <xf numFmtId="0" fontId="13" fillId="6" borderId="15" applyAlignment="1" pivotButton="0" quotePrefix="0" xfId="0">
      <alignment horizontal="left" vertical="center"/>
    </xf>
    <xf numFmtId="166" fontId="13" fillId="6" borderId="15" applyAlignment="1" pivotButton="0" quotePrefix="0" xfId="0">
      <alignment horizontal="center" vertical="center"/>
    </xf>
    <xf numFmtId="166" fontId="0" fillId="0" borderId="0" pivotButton="0" quotePrefix="0" xfId="0"/>
    <xf numFmtId="0" fontId="0" fillId="3" borderId="1" applyAlignment="1" pivotButton="0" quotePrefix="0" xfId="0">
      <alignment vertical="center"/>
    </xf>
    <xf numFmtId="10" fontId="0" fillId="3" borderId="1" applyAlignment="1" pivotButton="0" quotePrefix="0" xfId="0">
      <alignment vertical="center"/>
    </xf>
    <xf numFmtId="164" fontId="2" fillId="3" borderId="1" applyAlignment="1" pivotButton="0" quotePrefix="0" xfId="2">
      <alignment vertical="center"/>
    </xf>
    <xf numFmtId="164" fontId="0" fillId="3" borderId="1" applyAlignment="1" pivotButton="0" quotePrefix="0" xfId="1">
      <alignment vertical="center"/>
    </xf>
    <xf numFmtId="0" fontId="3" fillId="2" borderId="16" applyAlignment="1" pivotButton="0" quotePrefix="0" xfId="0">
      <alignment horizontal="center" vertical="center"/>
    </xf>
    <xf numFmtId="0" fontId="3" fillId="2" borderId="6" applyAlignment="1" pivotButton="0" quotePrefix="0" xfId="0">
      <alignment horizontal="center" vertical="center"/>
    </xf>
    <xf numFmtId="0" fontId="3" fillId="2" borderId="5" applyAlignment="1" pivotButton="0" quotePrefix="0" xfId="0">
      <alignment horizontal="center" vertical="center"/>
    </xf>
    <xf numFmtId="164" fontId="3" fillId="2" borderId="6" applyAlignment="1" pivotButton="0" quotePrefix="0" xfId="1">
      <alignment horizontal="center" vertical="center"/>
    </xf>
    <xf numFmtId="0" fontId="3" fillId="2" borderId="10"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6" fillId="0" borderId="5" applyAlignment="1" pivotButton="0" quotePrefix="0" xfId="0">
      <alignment horizontal="center" vertical="center"/>
    </xf>
    <xf numFmtId="0" fontId="6" fillId="0" borderId="6" applyAlignment="1" pivotButton="0" quotePrefix="0" xfId="0">
      <alignment horizontal="center" vertical="center"/>
    </xf>
    <xf numFmtId="0" fontId="7" fillId="0" borderId="5" applyAlignment="1" pivotButton="0" quotePrefix="0" xfId="0">
      <alignment horizontal="center" vertical="center"/>
    </xf>
    <xf numFmtId="0" fontId="7" fillId="0" borderId="6" applyAlignment="1" pivotButton="0" quotePrefix="0" xfId="0">
      <alignment horizontal="center" vertical="center"/>
    </xf>
    <xf numFmtId="167" fontId="0" fillId="0" borderId="1" applyAlignment="1" pivotButton="0" quotePrefix="0" xfId="0">
      <alignment horizontal="center" vertical="center"/>
    </xf>
    <xf numFmtId="166" fontId="0" fillId="0" borderId="0" pivotButton="0" quotePrefix="0" xfId="0"/>
    <xf numFmtId="166" fontId="13" fillId="0" borderId="15" applyAlignment="1" pivotButton="0" quotePrefix="0" xfId="0">
      <alignment horizontal="center" vertical="center" wrapText="1"/>
    </xf>
    <xf numFmtId="166" fontId="13" fillId="6" borderId="15" applyAlignment="1" pivotButton="0" quotePrefix="0" xfId="0">
      <alignment horizontal="center" vertical="center"/>
    </xf>
    <xf numFmtId="0" fontId="0" fillId="0" borderId="3" pivotButton="0" quotePrefix="0" xfId="0"/>
    <xf numFmtId="0" fontId="0" fillId="0" borderId="4" pivotButton="0" quotePrefix="0" xfId="0"/>
    <xf numFmtId="164" fontId="2" fillId="0" borderId="1" applyAlignment="1" pivotButton="0" quotePrefix="0" xfId="1">
      <alignment horizontal="center" vertical="center"/>
    </xf>
    <xf numFmtId="164" fontId="5" fillId="3" borderId="1" applyAlignment="1" pivotButton="0" quotePrefix="0" xfId="1">
      <alignment horizontal="center" vertical="center"/>
    </xf>
    <xf numFmtId="164" fontId="2" fillId="3" borderId="1" applyAlignment="1" pivotButton="0" quotePrefix="0" xfId="2">
      <alignment vertical="center"/>
    </xf>
    <xf numFmtId="164" fontId="0" fillId="3" borderId="1" applyAlignment="1" pivotButton="0" quotePrefix="0" xfId="1">
      <alignment vertical="center"/>
    </xf>
    <xf numFmtId="164" fontId="2" fillId="0" borderId="1" applyAlignment="1" pivotButton="0" quotePrefix="0" xfId="2">
      <alignment vertical="center"/>
    </xf>
    <xf numFmtId="164" fontId="3" fillId="2" borderId="1" applyAlignment="1" pivotButton="0" quotePrefix="0" xfId="1">
      <alignment horizontal="center" vertical="center"/>
    </xf>
    <xf numFmtId="164" fontId="2" fillId="3" borderId="1" applyAlignment="1" pivotButton="0" quotePrefix="0" xfId="1">
      <alignment horizontal="center" vertical="center"/>
    </xf>
    <xf numFmtId="164" fontId="12" fillId="0" borderId="1" applyAlignment="1" pivotButton="0" quotePrefix="0" xfId="1">
      <alignment horizontal="center" vertical="center"/>
    </xf>
    <xf numFmtId="164" fontId="7" fillId="0" borderId="1" applyAlignment="1" pivotButton="0" quotePrefix="0" xfId="1">
      <alignment horizontal="center" vertical="center"/>
    </xf>
    <xf numFmtId="164" fontId="7" fillId="3" borderId="1" applyAlignment="1" pivotButton="0" quotePrefix="0" xfId="1">
      <alignment horizontal="center" vertical="center"/>
    </xf>
    <xf numFmtId="164" fontId="0" fillId="3" borderId="1" applyAlignment="1" pivotButton="0" quotePrefix="0" xfId="1">
      <alignment horizontal="center" vertical="center"/>
    </xf>
    <xf numFmtId="167" fontId="0" fillId="0" borderId="1" applyAlignment="1" pivotButton="0" quotePrefix="0" xfId="0">
      <alignment horizontal="center" vertical="center"/>
    </xf>
    <xf numFmtId="165" fontId="6" fillId="4" borderId="1" applyAlignment="1" pivotButton="0" quotePrefix="0" xfId="0">
      <alignment horizontal="center" vertical="center"/>
    </xf>
    <xf numFmtId="164" fontId="6" fillId="4" borderId="1" applyAlignment="1" pivotButton="0" quotePrefix="0" xfId="0">
      <alignment horizontal="center" vertical="center"/>
    </xf>
    <xf numFmtId="164" fontId="0" fillId="0" borderId="1" applyAlignment="1" pivotButton="0" quotePrefix="0" xfId="0">
      <alignment horizontal="center" vertical="center"/>
    </xf>
    <xf numFmtId="164" fontId="0" fillId="0" borderId="1" applyAlignment="1" pivotButton="0" quotePrefix="0" xfId="1">
      <alignment horizontal="center" vertical="center"/>
    </xf>
    <xf numFmtId="164" fontId="0" fillId="0" borderId="1" applyAlignment="1" pivotButton="0" quotePrefix="0" xfId="1">
      <alignment vertical="center"/>
    </xf>
    <xf numFmtId="0" fontId="0" fillId="0" borderId="6" pivotButton="0" quotePrefix="0" xfId="0"/>
    <xf numFmtId="165" fontId="6" fillId="4" borderId="2" applyAlignment="1" pivotButton="0" quotePrefix="0" xfId="0">
      <alignment horizontal="center" vertical="center"/>
    </xf>
    <xf numFmtId="164" fontId="6" fillId="3" borderId="1" applyAlignment="1" pivotButton="0" quotePrefix="0" xfId="1">
      <alignment horizontal="center" vertical="center"/>
    </xf>
    <xf numFmtId="164" fontId="3" fillId="2" borderId="6" applyAlignment="1" pivotButton="0" quotePrefix="0" xfId="1">
      <alignment horizontal="center" vertical="center"/>
    </xf>
    <xf numFmtId="164" fontId="3" fillId="2" borderId="5" applyAlignment="1" pivotButton="0" quotePrefix="0" xfId="1">
      <alignment horizontal="center" vertical="center"/>
    </xf>
    <xf numFmtId="164" fontId="3" fillId="2" borderId="10" applyAlignment="1" pivotButton="0" quotePrefix="0" xfId="1">
      <alignment horizontal="center" vertical="center"/>
    </xf>
    <xf numFmtId="164" fontId="2" fillId="3" borderId="5" applyAlignment="1" pivotButton="0" quotePrefix="0" xfId="1">
      <alignment horizontal="center" vertical="center"/>
    </xf>
    <xf numFmtId="164" fontId="2" fillId="0" borderId="10" applyAlignment="1" pivotButton="0" quotePrefix="0" xfId="1">
      <alignment horizontal="center" vertical="center"/>
    </xf>
    <xf numFmtId="164" fontId="2" fillId="0" borderId="5" applyAlignment="1" pivotButton="0" quotePrefix="0" xfId="1">
      <alignment horizontal="center" vertical="center"/>
    </xf>
    <xf numFmtId="164" fontId="2" fillId="3" borderId="10" applyAlignment="1" pivotButton="0" quotePrefix="0" xfId="1">
      <alignment horizontal="center" vertical="center"/>
    </xf>
    <xf numFmtId="164" fontId="0" fillId="3" borderId="5" applyAlignment="1" pivotButton="0" quotePrefix="0" xfId="1">
      <alignment horizontal="center" vertical="center"/>
    </xf>
    <xf numFmtId="164" fontId="6" fillId="4" borderId="7" applyAlignment="1" pivotButton="0" quotePrefix="0" xfId="0">
      <alignment horizontal="center" vertical="center"/>
    </xf>
    <xf numFmtId="164" fontId="6" fillId="4" borderId="10" applyAlignment="1" pivotButton="0" quotePrefix="0" xfId="0">
      <alignment horizontal="center" vertical="center"/>
    </xf>
  </cellXfs>
  <cellStyles count="4">
    <cellStyle name="표준" xfId="0" builtinId="0"/>
    <cellStyle name="쉼표 [0]" xfId="1" builtinId="6"/>
    <cellStyle name="쉼표 [0] 2" xfId="2"/>
    <cellStyle name="표준 2" xfId="3"/>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2" sqref="A2"/>
    </sheetView>
  </sheetViews>
  <sheetFormatPr baseColWidth="8" defaultRowHeight="16.5"/>
  <sheetData>
    <row r="1">
      <c r="A1" s="0" t="inlineStr">
        <is>
          <t>해당</t>
        </is>
      </c>
    </row>
    <row r="2">
      <c r="A2" s="0" t="inlineStr">
        <is>
          <t>N/A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1542"/>
  <sheetViews>
    <sheetView topLeftCell="A1512" workbookViewId="0">
      <selection activeCell="A1542" sqref="A1542:XFD1542"/>
    </sheetView>
  </sheetViews>
  <sheetFormatPr baseColWidth="8" defaultColWidth="17" defaultRowHeight="16.5"/>
  <cols>
    <col width="10.25" customWidth="1" style="66" min="1" max="1"/>
    <col width="13.625" customWidth="1" style="66" min="2" max="2"/>
    <col width="10.125" customWidth="1" style="66" min="3" max="3"/>
    <col width="23" customWidth="1" style="66" min="4" max="4"/>
    <col width="31.75" customWidth="1" style="66" min="5" max="5"/>
    <col width="82" customWidth="1" style="66" min="6" max="6"/>
    <col width="11.5" customWidth="1" style="88" min="7" max="7"/>
    <col width="10.75" customWidth="1" style="66" min="8" max="8"/>
    <col width="10.25" customWidth="1" style="66" min="9" max="9"/>
  </cols>
  <sheetData>
    <row r="1" ht="17.25" customHeight="1" s="66">
      <c r="A1" s="64" t="inlineStr">
        <is>
          <t>업종코드</t>
        </is>
      </c>
      <c r="B1" s="64" t="inlineStr">
        <is>
          <t>업태명</t>
        </is>
      </c>
      <c r="C1" s="64" t="inlineStr">
        <is>
          <t>중분류</t>
        </is>
      </c>
      <c r="D1" s="64" t="inlineStr">
        <is>
          <t>세분류</t>
        </is>
      </c>
      <c r="E1" s="64" t="inlineStr">
        <is>
          <t>세세분류</t>
        </is>
      </c>
      <c r="F1" s="64" t="inlineStr">
        <is>
          <t>적용기준내용</t>
        </is>
      </c>
      <c r="G1" s="89" t="inlineStr">
        <is>
          <t>단순경비율(일반율)</t>
        </is>
      </c>
      <c r="H1" s="64" t="inlineStr">
        <is>
          <t>단순경비율(초과율)</t>
        </is>
      </c>
      <c r="I1" s="64" t="inlineStr">
        <is>
          <t>기준경비율(일반율)</t>
        </is>
      </c>
    </row>
    <row r="2" ht="17.25" customHeight="1" s="66">
      <c r="A2" s="65" t="inlineStr">
        <is>
          <t>011000</t>
        </is>
      </c>
      <c r="B2" s="68" t="inlineStr">
        <is>
          <t>농업, 임업 및 어업</t>
        </is>
      </c>
      <c r="C2" s="68" t="inlineStr">
        <is>
          <t>농업</t>
        </is>
      </c>
      <c r="D2" s="68" t="inlineStr">
        <is>
          <t>곡물 및 기타 식량작물 재배업</t>
        </is>
      </c>
      <c r="E2" s="68" t="inlineStr">
        <is>
          <t>곡물 및 기타 식량작물 재배업</t>
        </is>
      </c>
      <c r="F2" s="68" t="inlineStr">
        <is>
          <t>◦곡물작물, 식량용 뿌리작물, 콩과 작물 및 기타식량작물을 재배하는 산업활동을 말한다.
&lt;예 시&gt;
·벼, 보리, 밀, 수수 재배        ·감자, 고구마 재배         ·메밀 재배 
·옥수수, 콩, 녹두 재배
&lt;제 외&gt;
·작물의 종묘 생산(011003)   ·시설작물 재배(011007~011009)
·사료용 작물 재배(011006)   ·과실, 견과, 음료용 또는 향신용 작물 재배(011004,011005)</t>
        </is>
      </c>
      <c r="G2" s="90" t="n">
        <v>0</v>
      </c>
      <c r="H2" s="90" t="n">
        <v>0</v>
      </c>
      <c r="I2" s="90" t="n">
        <v>0</v>
      </c>
    </row>
    <row r="3" ht="17.25" customHeight="1" s="66">
      <c r="A3" s="65" t="inlineStr">
        <is>
          <t>011001</t>
        </is>
      </c>
      <c r="B3" s="68" t="inlineStr">
        <is>
          <t>농업, 임업 및 어업</t>
        </is>
      </c>
      <c r="C3" s="68" t="inlineStr">
        <is>
          <t>농업</t>
        </is>
      </c>
      <c r="D3" s="68" t="inlineStr">
        <is>
          <t>채소, 화훼작물 및 종묘 재배업</t>
        </is>
      </c>
      <c r="E3" s="68" t="inlineStr">
        <is>
          <t>채소작물 재배업</t>
        </is>
      </c>
      <c r="F3" s="68" t="inlineStr">
        <is>
          <t>◦노지에서 각종 채소작물을 재배하는 산업활동을 말한다. 노지에서 깻잎 등과 같이 채소로 사용하기 위하여 각종 작물을 재배하는 경우에도 여기에 분류된다.
&lt;예 시&gt;
·풋마늘, 마늘 및 풋고추 재배
·파 및 양파 재배
·아스파라거스 재배
·참외, 수박 및 멜론, 딸기, 토마토 등 과일채소 재배
·잎채소 재배
&lt;제 외&gt;
·채소작물 종자 및 묘목 생산(011003)
·커피, 코코아, 차, 겨자, 붉은 고추 등의 음료용 또는 향신용 작물 재배(011005)
·콩나물, 버섯 및 기타 채소작물의 시설재배(011007~011009)</t>
        </is>
      </c>
      <c r="G3" s="90" t="n">
        <v>93.5</v>
      </c>
      <c r="H3" s="90" t="n">
        <v>0</v>
      </c>
      <c r="I3" s="90" t="n">
        <v>9.699999999999999</v>
      </c>
    </row>
    <row r="4" ht="17.25" customHeight="1" s="66">
      <c r="A4" s="65" t="inlineStr">
        <is>
          <t>011002</t>
        </is>
      </c>
      <c r="B4" s="68" t="inlineStr">
        <is>
          <t>농업, 임업 및 어업</t>
        </is>
      </c>
      <c r="C4" s="68" t="inlineStr">
        <is>
          <t>농업</t>
        </is>
      </c>
      <c r="D4" s="68" t="inlineStr">
        <is>
          <t>채소, 화훼작물 및 종묘 재배업</t>
        </is>
      </c>
      <c r="E4" s="68" t="inlineStr">
        <is>
          <t>화훼작물 재배업</t>
        </is>
      </c>
      <c r="F4" s="68" t="inlineStr">
        <is>
          <t>◦노지에서 화초, 잔디, 관상수 등과 같은 장식, 관상, 조원 및 조경용의 수목◦꽃◦풀 등을 재배하는 산업활동을 말한다.
&lt;예 시&gt;
·정원수 재배
·조원용 풀 재배
·절화용 화초 재배
·분재 재배
&lt;제 외&gt;
·화훼작물의 종자 및 묘목 생산(011003)
·화훼작물의 시설재배(011008)
·공원에 화훼작물 식재 및 관리 활동(749303)</t>
        </is>
      </c>
      <c r="G4" s="90" t="n">
        <v>93.5</v>
      </c>
      <c r="H4" s="90" t="n">
        <v>0</v>
      </c>
      <c r="I4" s="90" t="n">
        <v>5.4</v>
      </c>
    </row>
    <row r="5" ht="17.25" customHeight="1" s="66">
      <c r="A5" s="65" t="inlineStr">
        <is>
          <t>011003</t>
        </is>
      </c>
      <c r="B5" s="68" t="inlineStr">
        <is>
          <t>농업, 임업 및 어업</t>
        </is>
      </c>
      <c r="C5" s="68" t="inlineStr">
        <is>
          <t>농업</t>
        </is>
      </c>
      <c r="D5" s="68" t="inlineStr">
        <is>
          <t>채소, 화훼작물 및 종묘 재배업</t>
        </is>
      </c>
      <c r="E5" s="68" t="inlineStr">
        <is>
          <t>종자 및 묘목 생산업</t>
        </is>
      </c>
      <c r="F5" s="68" t="inlineStr">
        <is>
          <t>◦노지 또는 시설에서 각종 농작물의 종자, 버섯 종균, 묘목 등을 생산하는 산업활동을 말한다.
&lt;예 시&gt;
·채소, 화초, 과수 종자 생산
·채소, 화초, 과수 묘목 생산
·버섯 종균 생산
·접수 및 삽수 묘목 생산
·화초 종근 생산
·벼 모판 생산
&lt;제 외&gt;
·육림용 종자 및 묘목 생산(020100)
·종균 없는 버섯재배용 배지 혼합·발효생산(369908)
·종균 없는 버섯재배용 배지 단순 혼합 생산·판매(G)
·공원에 화훼작물 식재 및 관리 활동(749303)</t>
        </is>
      </c>
      <c r="G5" s="90" t="n">
        <v>93.5</v>
      </c>
      <c r="H5" s="90" t="n">
        <v>0</v>
      </c>
      <c r="I5" s="90" t="n">
        <v>5.9</v>
      </c>
    </row>
    <row r="6" ht="17.25" customHeight="1" s="66">
      <c r="A6" s="65" t="inlineStr">
        <is>
          <t>011004</t>
        </is>
      </c>
      <c r="B6" s="68" t="inlineStr">
        <is>
          <t>농업, 임업 및 어업</t>
        </is>
      </c>
      <c r="C6" s="68" t="inlineStr">
        <is>
          <t>농업</t>
        </is>
      </c>
      <c r="D6" s="68" t="inlineStr">
        <is>
          <t>과실, 음료용 및 향신용 작물 재배업</t>
        </is>
      </c>
      <c r="E6" s="68" t="inlineStr">
        <is>
          <t>과실작물 재배업</t>
        </is>
      </c>
      <c r="F6" s="68" t="inlineStr">
        <is>
          <t>◦노지에서 견과(땅콩 제외)를 포함한 각종 과실작물을 재배하는 산업활동을 말한다.
&lt;예 시&gt;
·밤, 호두 및 대추 재배
·복숭아, 포도 및 감귤 재배
·바나나 재배
·키위 및 망고스틴 재배
·무화과 재배
&lt;제 외&gt;
·호프 재배(011006)
·낙화생(땅콩) 재배(011006)
·유지(기름 추출용) 작물 재배(011006)
·멜론, 수박, 토마토 및 기타 과일채소 노지재배(011001)</t>
        </is>
      </c>
      <c r="G6" s="90" t="n">
        <v>93.5</v>
      </c>
      <c r="H6" s="90" t="n">
        <v>0</v>
      </c>
      <c r="I6" s="90" t="n">
        <v>5.8</v>
      </c>
    </row>
    <row r="7" ht="17.25" customHeight="1" s="66">
      <c r="A7" s="65" t="inlineStr">
        <is>
          <t>011005</t>
        </is>
      </c>
      <c r="B7" s="68" t="inlineStr">
        <is>
          <t>농업, 임업 및 어업</t>
        </is>
      </c>
      <c r="C7" s="68" t="inlineStr">
        <is>
          <t>농업</t>
        </is>
      </c>
      <c r="D7" s="68" t="inlineStr">
        <is>
          <t>과실, 음료용 및 향신용 작물 재배업</t>
        </is>
      </c>
      <c r="E7" s="68" t="inlineStr">
        <is>
          <t>음료용 및 향신용 작물 재배업</t>
        </is>
      </c>
      <c r="F7" s="68" t="inlineStr">
        <is>
          <t>◦노지에서 음료용 또는 향신용 작물을 재배하는 산업활동을 말한다.
&lt;예 시&gt;
·고추(풋고추 제외) 재배
·생강 재배
·정향 재배
·녹차용 작물 재배
·커피 재배
·코코아 재배
&lt;제 외&gt;
·커피 가공(154901), 차류 가공(154905)
·향신료 가공(154501,154509)</t>
        </is>
      </c>
      <c r="G7" s="90" t="n">
        <v>93.5</v>
      </c>
      <c r="H7" s="90" t="n">
        <v>0</v>
      </c>
      <c r="I7" s="90" t="n">
        <v>9</v>
      </c>
    </row>
    <row r="8" ht="17.25" customHeight="1" s="66">
      <c r="A8" s="65" t="inlineStr">
        <is>
          <t>011006</t>
        </is>
      </c>
      <c r="B8" s="68" t="inlineStr">
        <is>
          <t>농업, 임업 및 어업</t>
        </is>
      </c>
      <c r="C8" s="68" t="inlineStr">
        <is>
          <t>농업</t>
        </is>
      </c>
      <c r="D8" s="68" t="inlineStr">
        <is>
          <t>기타 작물 재배업</t>
        </is>
      </c>
      <c r="E8" s="68" t="inlineStr">
        <is>
          <t>기타 작물 재배업</t>
        </is>
      </c>
      <c r="F8" s="68" t="inlineStr">
        <is>
          <t>◦노지에서 약용작물, 사료작물, 기름추출용 작물 및 공업용 원료작물 등 달리 분류되지 않은 기타 작물을 재배하는 산업활동을 말한다.
&lt;예 시&gt;
·인삼 재배
·호프 재배
·섬유작물 재배
·비 및 솔 제조용 작물 재배
·유지작물 재배
·조물재료용 작물 재배 
·낙화생(땅콩) 재배
·잎담배 재배
&lt;제 외&gt;
·곡물 및 기타 식량작물 재배(011000) 
·음료용 및 향신용 작물 재배(011005)
·작물 배양 재배(011009)
·식용과 사료용으로 모두 가능한 작물은 해당 작물 재배업으로 분류</t>
        </is>
      </c>
      <c r="G8" s="90" t="n">
        <v>93.5</v>
      </c>
      <c r="H8" s="90" t="n">
        <v>0</v>
      </c>
      <c r="I8" s="90" t="n">
        <v>11.1</v>
      </c>
    </row>
    <row r="9" ht="17.25" customHeight="1" s="66">
      <c r="A9" s="65" t="inlineStr">
        <is>
          <t>011007</t>
        </is>
      </c>
      <c r="B9" s="68" t="inlineStr">
        <is>
          <t>농업, 임업 및 어업</t>
        </is>
      </c>
      <c r="C9" s="68" t="inlineStr">
        <is>
          <t>농업</t>
        </is>
      </c>
      <c r="D9" s="68" t="inlineStr">
        <is>
          <t>시설작물 재배업</t>
        </is>
      </c>
      <c r="E9" s="68" t="inlineStr">
        <is>
          <t>기타 시설작물 재배업</t>
        </is>
      </c>
      <c r="F9" s="68" t="inlineStr">
        <is>
          <t>◦콩나물을 재배하는 산업활동을 말한다.</t>
        </is>
      </c>
      <c r="G9" s="90" t="n">
        <v>93.5</v>
      </c>
      <c r="H9" s="90" t="n">
        <v>0</v>
      </c>
      <c r="I9" s="90" t="n">
        <v>4.4</v>
      </c>
    </row>
    <row r="10" ht="17.25" customHeight="1" s="66">
      <c r="A10" s="65" t="inlineStr">
        <is>
          <t>011008</t>
        </is>
      </c>
      <c r="B10" s="68" t="inlineStr">
        <is>
          <t>농업, 임업 및 어업</t>
        </is>
      </c>
      <c r="C10" s="68" t="inlineStr">
        <is>
          <t>농업</t>
        </is>
      </c>
      <c r="D10" s="68" t="inlineStr">
        <is>
          <t>시설작물 재배업</t>
        </is>
      </c>
      <c r="E10" s="68" t="inlineStr">
        <is>
          <t>채소, 화훼 및 과실작물 시설 재배업</t>
        </is>
      </c>
      <c r="F10" s="68" t="inlineStr">
        <is>
          <t>◦시설 내에서 채소, 화훼 및 과실작물을 재배하는 산업활동을 말한다.
&lt;제 외&gt;
·음료용 및 향신용, 공예용 작물 시설 재배(011009)</t>
        </is>
      </c>
      <c r="G10" s="90" t="n">
        <v>93.5</v>
      </c>
      <c r="H10" s="90" t="n">
        <v>0</v>
      </c>
      <c r="I10" s="90" t="n">
        <v>14.4</v>
      </c>
    </row>
    <row r="11" ht="17.25" customHeight="1" s="66">
      <c r="A11" s="65" t="inlineStr">
        <is>
          <t>011009</t>
        </is>
      </c>
      <c r="B11" s="68" t="inlineStr">
        <is>
          <t>농업, 임업 및 어업</t>
        </is>
      </c>
      <c r="C11" s="68" t="inlineStr">
        <is>
          <t>농업</t>
        </is>
      </c>
      <c r="D11" s="68" t="inlineStr">
        <is>
          <t>시설작물 재배업</t>
        </is>
      </c>
      <c r="E11" s="68" t="inlineStr">
        <is>
          <t>기타 시설작물 재배업</t>
        </is>
      </c>
      <c r="F11" s="68" t="inlineStr">
        <is>
          <t>◦콩나물, 채소, 화훼 및 과실작물 이외의 각종 작물을 시설 재배하는 산업활동을 말한다.
&lt;예 시&gt;
··버섯 재배
·작물 배양 재배
·음료용 작물 시설재배
·공예작물 시설재배
·향신용 작물 시설재배
&lt;제 외&gt;
·화훼작물 시설 재배(011008)
·노지 및 시설 내에서 종묘 생산(011003)
·콩나물 재배(011007)</t>
        </is>
      </c>
      <c r="G11" s="90" t="n">
        <v>93.5</v>
      </c>
      <c r="H11" s="90" t="n">
        <v>0</v>
      </c>
      <c r="I11" s="90" t="n">
        <v>9.4</v>
      </c>
    </row>
    <row r="12" ht="17.25" customHeight="1" s="66">
      <c r="A12" s="65" t="inlineStr">
        <is>
          <t>012101</t>
        </is>
      </c>
      <c r="B12" s="68" t="inlineStr">
        <is>
          <t>농업, 임업 및 어업</t>
        </is>
      </c>
      <c r="C12" s="68" t="inlineStr">
        <is>
          <t>농업</t>
        </is>
      </c>
      <c r="D12" s="68" t="inlineStr">
        <is>
          <t>소 사육업</t>
        </is>
      </c>
      <c r="E12" s="68" t="inlineStr">
        <is>
          <t>육우 사육업</t>
        </is>
      </c>
      <c r="F12" s="68" t="inlineStr">
        <is>
          <t>◦쇠고기를 생산하기 위하여 육우를 사육하는 산업활동을 말한다. 젖소 이외 기타 용도의 소 사육업도 포함한다.</t>
        </is>
      </c>
      <c r="G12" s="90" t="n">
        <v>97.2</v>
      </c>
      <c r="H12" s="90" t="n">
        <v>0</v>
      </c>
      <c r="I12" s="90" t="n">
        <v>7.8</v>
      </c>
    </row>
    <row r="13" ht="17.25" customHeight="1" s="66">
      <c r="A13" s="65" t="inlineStr">
        <is>
          <t>012102</t>
        </is>
      </c>
      <c r="B13" s="68" t="inlineStr">
        <is>
          <t>농업, 임업 및 어업</t>
        </is>
      </c>
      <c r="C13" s="68" t="inlineStr">
        <is>
          <t>농업</t>
        </is>
      </c>
      <c r="D13" s="68" t="inlineStr">
        <is>
          <t>기타 축산업</t>
        </is>
      </c>
      <c r="E13" s="68" t="inlineStr">
        <is>
          <t>말 및 양 사육업</t>
        </is>
      </c>
      <c r="F13" s="68" t="inlineStr">
        <is>
          <t>◦각종 용도의 말, 양 및 염소를 사육하는 산업활동을 말한다.
&lt;예 시&gt;
·양 사육
·양모 생산
·당나귀 사육
·양젖 생산
·말 사육
&lt;제 외&gt;
·수수료 또는 계약에 의한 양털 깎기 및 사육장 서비스 활동(014300)
·도축활동에 관련된 양모 생산(151101)
·경마장에서 경주마를 사육관리하는 경우(924202)</t>
        </is>
      </c>
      <c r="G13" s="90" t="n">
        <v>91.8</v>
      </c>
      <c r="H13" s="90" t="n">
        <v>0</v>
      </c>
      <c r="I13" s="90" t="n">
        <v>11.4</v>
      </c>
    </row>
    <row r="14" ht="17.25" customHeight="1" s="66">
      <c r="A14" s="65" t="inlineStr">
        <is>
          <t>012103</t>
        </is>
      </c>
      <c r="B14" s="68" t="inlineStr">
        <is>
          <t>농업, 임업 및 어업</t>
        </is>
      </c>
      <c r="C14" s="68" t="inlineStr">
        <is>
          <t>농업</t>
        </is>
      </c>
      <c r="D14" s="68" t="inlineStr">
        <is>
          <t>기타 축산업</t>
        </is>
      </c>
      <c r="E14" s="68" t="inlineStr">
        <is>
          <t>그 외 기타 축산업(사슴, 토끼, 개)</t>
        </is>
      </c>
      <c r="F14" s="68" t="inlineStr">
        <is>
          <t>◦사슴, 토끼, 개 사육
&lt;예 시&gt;
·녹용생산(사육관련)</t>
        </is>
      </c>
      <c r="G14" s="90" t="n">
        <v>88</v>
      </c>
      <c r="H14" s="90" t="n">
        <v>0</v>
      </c>
      <c r="I14" s="90" t="n">
        <v>7.4</v>
      </c>
    </row>
    <row r="15" ht="17.25" customHeight="1" s="66">
      <c r="A15" s="65" t="inlineStr">
        <is>
          <t>012104</t>
        </is>
      </c>
      <c r="B15" s="68" t="inlineStr">
        <is>
          <t>농업, 임업 및 어업</t>
        </is>
      </c>
      <c r="C15" s="68" t="inlineStr">
        <is>
          <t>농업</t>
        </is>
      </c>
      <c r="D15" s="68" t="inlineStr">
        <is>
          <t>소 사육업</t>
        </is>
      </c>
      <c r="E15" s="68" t="inlineStr">
        <is>
          <t>젖소 사육업</t>
        </is>
      </c>
      <c r="F15" s="68" t="inlineStr">
        <is>
          <t>◦우유를 생산하기 위하여 젖소를 사육하는 산업활동을 말한다.
&lt;예 시&gt;
·젖소 사육
·생우유 생산
&lt;제 외&gt;
·구입한 생우유의 처리 및 가공(152001~152003)</t>
        </is>
      </c>
      <c r="G15" s="90" t="n">
        <v>97.2</v>
      </c>
      <c r="H15" s="90" t="n">
        <v>0</v>
      </c>
      <c r="I15" s="90" t="n">
        <v>7.1</v>
      </c>
    </row>
    <row r="16" ht="17.25" customHeight="1" s="66">
      <c r="A16" s="65" t="inlineStr">
        <is>
          <t>012201</t>
        </is>
      </c>
      <c r="B16" s="68" t="inlineStr">
        <is>
          <t>농업, 임업 및 어업</t>
        </is>
      </c>
      <c r="C16" s="68" t="inlineStr">
        <is>
          <t>농업</t>
        </is>
      </c>
      <c r="D16" s="68" t="inlineStr">
        <is>
          <t>양돈업</t>
        </is>
      </c>
      <c r="E16" s="68" t="inlineStr">
        <is>
          <t>양돈업</t>
        </is>
      </c>
      <c r="F16" s="68" t="inlineStr">
        <is>
          <t>◦각종 용도의 돼지, 멧돼지를 번식 및 사육하는 산업활동을 말한다.
&lt;예 시&gt;
·돼지 사육
·멧돼지 사육</t>
        </is>
      </c>
      <c r="G16" s="90" t="n">
        <v>96.5</v>
      </c>
      <c r="H16" s="90" t="n">
        <v>0</v>
      </c>
      <c r="I16" s="90" t="n">
        <v>9.1</v>
      </c>
    </row>
    <row r="17" ht="17.25" customHeight="1" s="66">
      <c r="A17" s="65" t="inlineStr">
        <is>
          <t>012202</t>
        </is>
      </c>
      <c r="B17" s="68" t="inlineStr">
        <is>
          <t>농업, 임업 및 어업</t>
        </is>
      </c>
      <c r="C17" s="68" t="inlineStr">
        <is>
          <t>농업</t>
        </is>
      </c>
      <c r="D17" s="68" t="inlineStr">
        <is>
          <t>가금류 및 조류 사육업</t>
        </is>
      </c>
      <c r="E17" s="68" t="inlineStr">
        <is>
          <t>양계업</t>
        </is>
      </c>
      <c r="F17" s="68" t="inlineStr">
        <is>
          <t>◦각종 용도의 닭을 사육하거나 병아리를 부화하는 산업활동을 말한다.
&lt;예 시&gt;
·닭 사육
·양계장 운영
·계란 생산
·병아리 부화장 운영
&lt;제 외&gt;
·가금 감별활동(014300)</t>
        </is>
      </c>
      <c r="G17" s="90" t="n">
        <v>95.90000000000001</v>
      </c>
      <c r="H17" s="90" t="n">
        <v>0</v>
      </c>
      <c r="I17" s="90" t="n">
        <v>8.699999999999999</v>
      </c>
    </row>
    <row r="18" ht="17.25" customHeight="1" s="66">
      <c r="A18" s="65" t="inlineStr">
        <is>
          <t>012203</t>
        </is>
      </c>
      <c r="B18" s="68" t="inlineStr">
        <is>
          <t>농업, 임업 및 어업</t>
        </is>
      </c>
      <c r="C18" s="68" t="inlineStr">
        <is>
          <t>농업</t>
        </is>
      </c>
      <c r="D18" s="68" t="inlineStr">
        <is>
          <t>가금류 및 조류 사육업</t>
        </is>
      </c>
      <c r="E18" s="68" t="inlineStr">
        <is>
          <t>기타 가금류 및 조류 사육업</t>
        </is>
      </c>
      <c r="F18" s="68" t="inlineStr">
        <is>
          <t>◦닭을 제외한 각종 용도의 가금 및 기타 조류를 사육하거나 부화하는 산업활동을 말한다.
&lt;예 시&gt;
·가금(닭 제외) 사육
·조란(계란 제외) 생산
·실험용 조류 사육
·관상용 조류 사육
·메추리 사육
·가금(닭 제외) 부화
&lt;제 외&gt;
·가금 감별활동(014300)
·닭 사육 및 부화(012202)</t>
        </is>
      </c>
      <c r="G18" s="90" t="n">
        <v>94.2</v>
      </c>
      <c r="H18" s="90" t="n">
        <v>0</v>
      </c>
      <c r="I18" s="90" t="n">
        <v>8.4</v>
      </c>
    </row>
    <row r="19" ht="17.25" customHeight="1" s="66">
      <c r="A19" s="65" t="inlineStr">
        <is>
          <t>012204</t>
        </is>
      </c>
      <c r="B19" s="68" t="inlineStr">
        <is>
          <t>농업, 임업 및 어업</t>
        </is>
      </c>
      <c r="C19" s="68" t="inlineStr">
        <is>
          <t>농업</t>
        </is>
      </c>
      <c r="D19" s="68" t="inlineStr">
        <is>
          <t>기타 축산업</t>
        </is>
      </c>
      <c r="E19" s="68" t="inlineStr">
        <is>
          <t>그 외 기타 축산업</t>
        </is>
      </c>
      <c r="F19" s="68" t="inlineStr">
        <is>
          <t>◦달리 분류되지 않은 육지동물(소, 돼지, 가금류, 말 및 양을 제외)을 번식◦증식◦사육하는 산업활동을 말한다.
&lt;예 시&gt;
·양봉업
·실험용 쥐 생산
·여우 및 곰 사육
·곤충류 사육
·양잠업
·환형동물(지렁이 등) 사육
&lt;제 외&gt;
·가금 및 조류 감별활동(014300)
*사슴, 토끼, 개 사육(→012103)</t>
        </is>
      </c>
      <c r="G19" s="90" t="n">
        <v>93.90000000000001</v>
      </c>
      <c r="H19" s="90" t="n">
        <v>0</v>
      </c>
      <c r="I19" s="90" t="n">
        <v>10.6</v>
      </c>
    </row>
    <row r="20" ht="17.25" customHeight="1" s="66">
      <c r="A20" s="65" t="inlineStr">
        <is>
          <t>014300</t>
        </is>
      </c>
      <c r="B20" s="68" t="inlineStr">
        <is>
          <t>농업, 임업 및 어업</t>
        </is>
      </c>
      <c r="C20" s="68" t="inlineStr">
        <is>
          <t>농업</t>
        </is>
      </c>
      <c r="D20" s="68" t="inlineStr">
        <is>
          <t>축산 관련 서비스업</t>
        </is>
      </c>
      <c r="E20" s="68" t="inlineStr">
        <is>
          <t>축산 관련 서비스업</t>
        </is>
      </c>
      <c r="F20" s="68" t="inlineStr">
        <is>
          <t>◦수수료 또는 계약에 의하여 축산관련 서비스를 제공하는 산업활동을 말한다.
&lt;예 시&gt;
·가금감별 서비스
·동물 인공수정
·품종개량 서비스
·거세 서비스
·혈통검사 서비스
·동물 먹이주기 대리
·병아리 감별
&lt;제 외&gt;
·가금부화 서비스(012202, 012203)
·수렵관련 서비스 활동(015000)
·축산분뇨 수집 및 처리(900203)</t>
        </is>
      </c>
      <c r="G20" s="90" t="n">
        <v>93.7</v>
      </c>
      <c r="H20" s="90" t="n">
        <v>0</v>
      </c>
      <c r="I20" s="90" t="n">
        <v>28.5</v>
      </c>
    </row>
    <row r="21" ht="17.25" customHeight="1" s="66">
      <c r="A21" s="65" t="inlineStr">
        <is>
          <t>014301</t>
        </is>
      </c>
      <c r="B21" s="68" t="inlineStr">
        <is>
          <t>농업, 임업 및 어업</t>
        </is>
      </c>
      <c r="C21" s="68" t="inlineStr">
        <is>
          <t>농업</t>
        </is>
      </c>
      <c r="D21" s="68" t="inlineStr">
        <is>
          <t>작물재배 및 축산 복합농업</t>
        </is>
      </c>
      <c r="E21" s="68" t="inlineStr">
        <is>
          <t>작물재배 및 축산 복합농업</t>
        </is>
      </c>
      <c r="F21" s="68" t="inlineStr">
        <is>
          <t>◦작물 재배활동과 축산활동을 복합적으로 운영하는 산업활동으로서 이중 한편의 전문화율이 66% 이하로 운영되는 산업활동을 말한다.
&lt;예 시&gt;
·작물재배와 축산 복합 생산
&lt;제 외&gt;
·축산활동이나 작물 생산활동을 복합적으로 운영하면서 어느 한쪽의 전문화율이 66%를 초과하는 경우에는 주된 산업활동에 따라 작물 재배업 또는 축산업에 각각 분류</t>
        </is>
      </c>
      <c r="G21" s="90" t="n">
        <v>93.7</v>
      </c>
      <c r="H21" s="90" t="n">
        <v>0</v>
      </c>
      <c r="I21" s="90" t="n">
        <v>12</v>
      </c>
    </row>
    <row r="22" ht="17.25" customHeight="1" s="66">
      <c r="A22" s="65" t="inlineStr">
        <is>
          <t>014302</t>
        </is>
      </c>
      <c r="B22" s="68" t="inlineStr">
        <is>
          <t>농업, 임업 및 어업</t>
        </is>
      </c>
      <c r="C22" s="68" t="inlineStr">
        <is>
          <t>농업</t>
        </is>
      </c>
      <c r="D22" s="68" t="inlineStr">
        <is>
          <t>작물재배 관련 서비스업</t>
        </is>
      </c>
      <c r="E22" s="68" t="inlineStr">
        <is>
          <t>작물재배 지원 서비스업</t>
        </is>
      </c>
      <c r="F22" s="68" t="inlineStr">
        <is>
          <t>◦수수료 또는 계약에 의하여 밭갈기, 작물심기, 농약뿌리기, 가지치기, 작물 수확하기 등 작물재배에 수반되는 활동을 제공하는 산업활동을 말한다. 운전자와 함께 농업용 기계 및 장비를 제공하는 활동과 농업용수 공급활동도 포함한다.
&lt;예 시&gt;
·농약 뿌리기 서비스
·작물 수확 서비스
·농업용수 공급
·농업 노동자 공급
&lt;제 외&gt;
·과실 선과장 운영(014303)
·농산물 건조장 운영(014303)
·생활용수 및 공업용수 공급(41000)
·농업 노동력 이외의 인력공급(749100~749102)</t>
        </is>
      </c>
      <c r="G22" s="90" t="n">
        <v>93.7</v>
      </c>
      <c r="H22" s="90" t="n">
        <v>0</v>
      </c>
      <c r="I22" s="90" t="n">
        <v>23</v>
      </c>
    </row>
    <row r="23" ht="17.25" customHeight="1" s="66">
      <c r="A23" s="65" t="inlineStr">
        <is>
          <t>014303</t>
        </is>
      </c>
      <c r="B23" s="68" t="inlineStr">
        <is>
          <t>농업, 임업 및 어업</t>
        </is>
      </c>
      <c r="C23" s="68" t="inlineStr">
        <is>
          <t>농업</t>
        </is>
      </c>
      <c r="D23" s="68" t="inlineStr">
        <is>
          <t>작물재배 관련 서비스업</t>
        </is>
      </c>
      <c r="E23" s="68" t="inlineStr">
        <is>
          <t>농산물 건조, 선별 및 기타 수확 후 서비스업</t>
        </is>
      </c>
      <c r="F23" s="68" t="inlineStr">
        <is>
          <t>◦수수료 또는 계약에 의하여 곡물, 종자, 채소, 화훼 및 과실 등의 각종 농산물을 선별, 건조 및 기타 출하준비를 위한 고정 처리시설(가공처리시설 제외)을 운영하는 시장 출하 이전 활동을 말한다.
&lt;예 시&gt;
·과실 선과장 운영
·농산물 건조장 운영
·종자 가공업 운영
&lt;제 외&gt;
·담배 재건조업(160000)
·농업용 종자 재배업(011003)
·종자 신품종 개발을 위한 연구활동(730002)</t>
        </is>
      </c>
      <c r="G23" s="90" t="n">
        <v>93.7</v>
      </c>
      <c r="H23" s="90" t="n">
        <v>0</v>
      </c>
      <c r="I23" s="90" t="n">
        <v>13.7</v>
      </c>
    </row>
    <row r="24" ht="17.25" customHeight="1" s="66">
      <c r="A24" s="65" t="inlineStr">
        <is>
          <t>015000</t>
        </is>
      </c>
      <c r="B24" s="68" t="inlineStr">
        <is>
          <t>농업, 임업 및 어업</t>
        </is>
      </c>
      <c r="C24" s="68" t="inlineStr">
        <is>
          <t>농업</t>
        </is>
      </c>
      <c r="D24" s="68" t="inlineStr">
        <is>
          <t>수렵 및 관련 서비스업</t>
        </is>
      </c>
      <c r="E24" s="68" t="inlineStr">
        <is>
          <t>수렵 및 관련 서비스업</t>
        </is>
      </c>
      <c r="F24" s="68" t="inlineStr">
        <is>
          <t>◦육상에서 각종 야생 육지 동물과 수산 동물(고래 제외)을 포획 또는 채집하는 활동 및 수렵관련 서비스 활동을 포함한다.
&lt;예 시&gt;
·수렵활동
·야생 개구리 포획
·육상에서 수행하는 수산 포유동물(해마, 바다표범) 포획
&lt;제 외&gt;
·사육활동에 결합된 동물성 물질 생산(012101~012104, 012201~012204)
·고래 수상 포획활동(051104)
·도축활동 과정에서의 동물성 물질 생산(151101,151103)</t>
        </is>
      </c>
      <c r="G24" s="90" t="n">
        <v>80</v>
      </c>
      <c r="H24" s="90" t="n">
        <v>0</v>
      </c>
      <c r="I24" s="90" t="n">
        <v>14.3</v>
      </c>
    </row>
    <row r="25" ht="17.25" customHeight="1" s="66">
      <c r="A25" s="65" t="inlineStr">
        <is>
          <t>020100</t>
        </is>
      </c>
      <c r="B25" s="68" t="inlineStr">
        <is>
          <t>농업, 임업 및 어업</t>
        </is>
      </c>
      <c r="C25" s="68" t="inlineStr">
        <is>
          <t>임업</t>
        </is>
      </c>
      <c r="D25" s="68" t="inlineStr">
        <is>
          <t>영림업</t>
        </is>
      </c>
      <c r="E25" s="68" t="inlineStr">
        <is>
          <t>임업용 종묘 생산업</t>
        </is>
      </c>
      <c r="F25" s="68" t="inlineStr">
        <is>
          <t>◦조림 및 육림 등 임업용 수목의 종자 및 묘목을 생산 또는 채취하는 산업활동을 말한다.
&lt;예 시&gt;
·임업용 묘목 생산
·임업용 종자 생산
&lt;제 외&gt;
·임업용 이외의 종묘 생산(011003)</t>
        </is>
      </c>
      <c r="G25" s="90" t="n">
        <v>91.3</v>
      </c>
      <c r="H25" s="90" t="n">
        <v>0</v>
      </c>
      <c r="I25" s="90" t="n">
        <v>9.1</v>
      </c>
    </row>
    <row r="26" ht="17.25" customHeight="1" s="66">
      <c r="A26" s="65" t="inlineStr">
        <is>
          <t>020101</t>
        </is>
      </c>
      <c r="B26" s="68" t="inlineStr">
        <is>
          <t>농업, 임업 및 어업</t>
        </is>
      </c>
      <c r="C26" s="68" t="inlineStr">
        <is>
          <t>임업</t>
        </is>
      </c>
      <c r="D26" s="68" t="inlineStr">
        <is>
          <t>영림업</t>
        </is>
      </c>
      <c r="E26" s="68" t="inlineStr">
        <is>
          <t>육림업</t>
        </is>
      </c>
      <c r="F26" s="68" t="inlineStr">
        <is>
          <t>◦임목을 생산하기 위하여 산림에서 나무를 심고, 가꾸고, 보호하는 산업활동을 말한다.
&lt;예 시&gt;
·임목지 운영
·자영 산림 내에서 임업 부산물 생산
&lt;제 외&gt;
·식물원, 수목원 관리 운영(923300, 924905)</t>
        </is>
      </c>
      <c r="G26" s="90" t="n">
        <v>91.3</v>
      </c>
      <c r="H26" s="90" t="n">
        <v>0</v>
      </c>
      <c r="I26" s="90" t="n">
        <v>10.1</v>
      </c>
    </row>
    <row r="27" ht="17.25" customHeight="1" s="66">
      <c r="A27" s="65" t="inlineStr">
        <is>
          <t>020102</t>
        </is>
      </c>
      <c r="B27" s="68" t="inlineStr">
        <is>
          <t>농업, 임업 및 어업</t>
        </is>
      </c>
      <c r="C27" s="68" t="inlineStr">
        <is>
          <t>임업</t>
        </is>
      </c>
      <c r="D27" s="68" t="inlineStr">
        <is>
          <t>임산물 채취업</t>
        </is>
      </c>
      <c r="E27" s="68" t="inlineStr">
        <is>
          <t>임산물 채취업</t>
        </is>
      </c>
      <c r="F27" s="68" t="inlineStr">
        <is>
          <t>◦자연적으로 번식◦생장하는 각종 용도의 야생 식물 및 식물성 물질을 채취하는 산업활동을 말한다. 야생 딸기, 버섯, 송로 및 견과 등 식용 가능한 야생 식물을 채취하는 활동도 포함한다.
&lt;예 시&gt;
·천연 검 및 수지 채취
·쿠션, 매트리스 등 충전용 식물성 재료 채취
·천연 코르크 채취
·편조물용 식물성 재료 채취
·야생 딸기, 버섯, 송로 및 견과 등 식용 야생 식물 채취
&lt;제 외&gt;
·재배한 고무나무에서 천연고무 라텍스액 채취(011006)
·임업사업자를 대리한 임산물 채취·정리활동(020300)
·육림업자가 자영 산림 내에서 야생식물을 채취하는 경우(020101)</t>
        </is>
      </c>
      <c r="G27" s="90" t="n">
        <v>91.3</v>
      </c>
      <c r="H27" s="90" t="n">
        <v>0</v>
      </c>
      <c r="I27" s="90" t="n">
        <v>14.4</v>
      </c>
    </row>
    <row r="28" ht="17.25" customHeight="1" s="66">
      <c r="A28" s="65" t="inlineStr">
        <is>
          <t>020200</t>
        </is>
      </c>
      <c r="B28" s="68" t="inlineStr">
        <is>
          <t>농업, 임업 및 어업</t>
        </is>
      </c>
      <c r="C28" s="68" t="inlineStr">
        <is>
          <t>임업</t>
        </is>
      </c>
      <c r="D28" s="68" t="inlineStr">
        <is>
          <t>벌목업</t>
        </is>
      </c>
      <c r="E28" s="68" t="inlineStr">
        <is>
          <t>벌목업</t>
        </is>
      </c>
      <c r="F28" s="68" t="inlineStr">
        <is>
          <t>◦원목과 연료용 목재를 벌목하는 산업활동을 말한다.
&lt;예 시&gt;
·원목 생산
·연료용 나무 생산
·벌목업자
·화목 생산</t>
        </is>
      </c>
      <c r="G28" s="90" t="n">
        <v>90.5</v>
      </c>
      <c r="H28" s="90" t="n">
        <v>0</v>
      </c>
      <c r="I28" s="90" t="n">
        <v>17.7</v>
      </c>
    </row>
    <row r="29" ht="17.25" customHeight="1" s="66">
      <c r="A29" s="65" t="inlineStr">
        <is>
          <t>020300</t>
        </is>
      </c>
      <c r="B29" s="68" t="inlineStr">
        <is>
          <t>농업, 임업 및 어업</t>
        </is>
      </c>
      <c r="C29" s="68" t="inlineStr">
        <is>
          <t>임업</t>
        </is>
      </c>
      <c r="D29" s="68" t="inlineStr">
        <is>
          <t>임업 관련 서비스업</t>
        </is>
      </c>
      <c r="E29" s="68" t="inlineStr">
        <is>
          <t>임업 관련 서비스업</t>
        </is>
      </c>
      <c r="F29" s="68" t="inlineStr">
        <is>
          <t>◦수수료 또는 계약에 의하여 영림 및 벌목관련 서비스를 제공하는 산업 활동을 말한다.
&lt;예 시&gt;
·산불 방지 서비스
·산림 병충해 방지 서비스
·산림 경비 및 보조 서비스
·수목 조사 및 평가 서비스
·목재 운반 및 이동 서비스(벌목장 내)</t>
        </is>
      </c>
      <c r="G29" s="90" t="n">
        <v>90.5</v>
      </c>
      <c r="H29" s="90" t="n">
        <v>0</v>
      </c>
      <c r="I29" s="90" t="n">
        <v>17.2</v>
      </c>
    </row>
    <row r="30" ht="17.25" customHeight="1" s="66">
      <c r="A30" s="65" t="inlineStr">
        <is>
          <t>051102</t>
        </is>
      </c>
      <c r="B30" s="68" t="inlineStr">
        <is>
          <t>농업, 임업 및 어업</t>
        </is>
      </c>
      <c r="C30" s="68" t="inlineStr">
        <is>
          <t>어업</t>
        </is>
      </c>
      <c r="D30" s="68" t="inlineStr">
        <is>
          <t>해수면 어업</t>
        </is>
      </c>
      <c r="E30" s="68" t="inlineStr">
        <is>
          <t>연근해 어업</t>
        </is>
      </c>
      <c r="F30" s="68" t="inlineStr">
        <is>
          <t>◦연안 및 근해에서 어류, 갑각류, 연체동물, 해조류 및 기타 수산 동◦식물을 채취 또는 포획하는 산업활동을 말한다.
&lt;예 시&gt;
·어류 포획
·수산 무척추동물 포획
·산호 채취
·진주조개채취
·저인망
·조개류채취
·트롤</t>
        </is>
      </c>
      <c r="G30" s="90" t="n">
        <v>96.8</v>
      </c>
      <c r="H30" s="90" t="n">
        <v>0</v>
      </c>
      <c r="I30" s="90" t="n">
        <v>16.7</v>
      </c>
    </row>
    <row r="31" ht="17.25" customHeight="1" s="66">
      <c r="A31" s="65" t="inlineStr">
        <is>
          <t>051104</t>
        </is>
      </c>
      <c r="B31" s="68" t="inlineStr">
        <is>
          <t>농업, 임업 및 어업</t>
        </is>
      </c>
      <c r="C31" s="68" t="inlineStr">
        <is>
          <t>어업</t>
        </is>
      </c>
      <c r="D31" s="68" t="inlineStr">
        <is>
          <t>해수면 어업</t>
        </is>
      </c>
      <c r="E31" s="68" t="inlineStr">
        <is>
          <t>원양 어업</t>
        </is>
      </c>
      <c r="F31" s="68" t="inlineStr">
        <is>
          <t>◦원양에서 어류, 갑각류, 연체동물, 해조류 및 기타 수산 동◦식물을 채취 또는 포획하는 산업활동을 말한다.
&lt;예 시&gt;
·어류 포획
·수산 무척추동물 포획
·진주조개 채취
·산호 채취
·저인망
·트롤
·일본조, 고래포획</t>
        </is>
      </c>
      <c r="G31" s="90" t="n">
        <v>96.40000000000001</v>
      </c>
      <c r="H31" s="90" t="n">
        <v>0</v>
      </c>
      <c r="I31" s="90" t="n">
        <v>18.8</v>
      </c>
    </row>
    <row r="32" ht="17.25" customHeight="1" s="66">
      <c r="A32" s="65" t="inlineStr">
        <is>
          <t>051200</t>
        </is>
      </c>
      <c r="B32" s="68" t="inlineStr">
        <is>
          <t>농업, 임업 및 어업</t>
        </is>
      </c>
      <c r="C32" s="68" t="inlineStr">
        <is>
          <t>어업</t>
        </is>
      </c>
      <c r="D32" s="68" t="inlineStr">
        <is>
          <t>내수면 어업</t>
        </is>
      </c>
      <c r="E32" s="68" t="inlineStr">
        <is>
          <t>내수면 어업</t>
        </is>
      </c>
      <c r="F32" s="68" t="inlineStr">
        <is>
          <t>◦강, 호수, 하천 등 내수면에서 어류 등의 각종 수산 동◦식물을 채취 또는 포획하는 산업활동을 말한다.
&lt;예 시&gt;
·어류 포획
·연체동물 포획
·갑각류 채취
·수산 식물 채취</t>
        </is>
      </c>
      <c r="G32" s="90" t="n">
        <v>93.5</v>
      </c>
      <c r="H32" s="90" t="n">
        <v>0</v>
      </c>
      <c r="I32" s="90" t="n">
        <v>7.6</v>
      </c>
    </row>
    <row r="33" ht="17.25" customHeight="1" s="66">
      <c r="A33" s="65" t="inlineStr">
        <is>
          <t>052101</t>
        </is>
      </c>
      <c r="B33" s="68" t="inlineStr">
        <is>
          <t>농업, 임업 및 어업</t>
        </is>
      </c>
      <c r="C33" s="68" t="inlineStr">
        <is>
          <t>어업</t>
        </is>
      </c>
      <c r="D33" s="68" t="inlineStr">
        <is>
          <t>양식 어업</t>
        </is>
      </c>
      <c r="E33" s="68" t="inlineStr">
        <is>
          <t>해수면 양식 어업</t>
        </is>
      </c>
      <c r="F33" s="68" t="inlineStr">
        <is>
          <t>◦해수면 또는 육상에서 해수를 이용하여 각종 수산 동◦식물을 증식 또는 양식하는 산업활동을 말한다.
&lt;예 시&gt;
·수산 동물 양식
·수산 식물 양식
·진주 양식
·해산물 양식</t>
        </is>
      </c>
      <c r="G33" s="90" t="n">
        <v>95.3</v>
      </c>
      <c r="H33" s="90" t="n">
        <v>0</v>
      </c>
      <c r="I33" s="90" t="n">
        <v>8.9</v>
      </c>
    </row>
    <row r="34" ht="17.25" customHeight="1" s="66">
      <c r="A34" s="65" t="inlineStr">
        <is>
          <t>052103</t>
        </is>
      </c>
      <c r="B34" s="68" t="inlineStr">
        <is>
          <t>농업, 임업 및 어업</t>
        </is>
      </c>
      <c r="C34" s="68" t="inlineStr">
        <is>
          <t>어업</t>
        </is>
      </c>
      <c r="D34" s="68" t="inlineStr">
        <is>
          <t>양식 어업</t>
        </is>
      </c>
      <c r="E34" s="68" t="inlineStr">
        <is>
          <t>내수면 양식 어업</t>
        </is>
      </c>
      <c r="F34" s="68" t="inlineStr">
        <is>
          <t>◦내수면에서 각종 수산 동◦식물을 증식 또는 양식하는 산업활동을 말한다.
&lt;예 시&gt;
·수산 동물 양식
·수산 식물 양식
·개구리 양식
·우렁이 양식
&lt;제 외&gt;
·개구리 포획(015000)</t>
        </is>
      </c>
      <c r="G34" s="90" t="n">
        <v>92.7</v>
      </c>
      <c r="H34" s="90" t="n">
        <v>0</v>
      </c>
      <c r="I34" s="90" t="n">
        <v>9</v>
      </c>
    </row>
    <row r="35" ht="17.25" customHeight="1" s="66">
      <c r="A35" s="65" t="inlineStr">
        <is>
          <t>052104</t>
        </is>
      </c>
      <c r="B35" s="68" t="inlineStr">
        <is>
          <t>농업, 임업 및 어업</t>
        </is>
      </c>
      <c r="C35" s="68" t="inlineStr">
        <is>
          <t>어업</t>
        </is>
      </c>
      <c r="D35" s="68" t="inlineStr">
        <is>
          <t>양식 어업</t>
        </is>
      </c>
      <c r="E35" s="68" t="inlineStr">
        <is>
          <t>수산물 부화 및 수산 종자 생산업</t>
        </is>
      </c>
      <c r="F35" s="68" t="inlineStr">
        <is>
          <t>◦각종 수산 동물과 식물을 부화하거나 종자를 생산하는 산업활동을 말한다.
&lt;예 시&gt;
·수산 동물 및 식물 종자생산
·어족 부화 서비스</t>
        </is>
      </c>
      <c r="G35" s="90" t="n">
        <v>95.5</v>
      </c>
      <c r="H35" s="90" t="n">
        <v>0</v>
      </c>
      <c r="I35" s="90" t="n">
        <v>9.5</v>
      </c>
    </row>
    <row r="36" ht="17.25" customHeight="1" s="66">
      <c r="A36" s="65" t="inlineStr">
        <is>
          <t>052200</t>
        </is>
      </c>
      <c r="B36" s="68" t="inlineStr">
        <is>
          <t>농업, 임업 및 어업</t>
        </is>
      </c>
      <c r="C36" s="68" t="inlineStr">
        <is>
          <t>어업</t>
        </is>
      </c>
      <c r="D36" s="68" t="inlineStr">
        <is>
          <t>어업 관련 서비스업</t>
        </is>
      </c>
      <c r="E36" s="68" t="inlineStr">
        <is>
          <t>어업 관련 서비스업</t>
        </is>
      </c>
      <c r="F36" s="68" t="inlineStr">
        <is>
          <t>◦수수료 또는 계약에 의하여 어로어업 및 양식어업에 관련된 서비스를 제공하는 산업활동을 말한다.
&lt;예 시&gt;
·어획물 정리 서비스
·어획물 출하 준비 서비스
·수산물 선별, 정리 서비스
·수산자원 보호 활동(플랑크톤 등 배양 활동 포함)
&lt;제 외&gt;
·어족부화 서비스(052104)
·오락 목적의 낚시장 운영 및 관련 서비스 활동(924914)</t>
        </is>
      </c>
      <c r="G36" s="90" t="n">
        <v>95.3</v>
      </c>
      <c r="H36" s="90" t="n">
        <v>0</v>
      </c>
      <c r="I36" s="90" t="n">
        <v>11.6</v>
      </c>
    </row>
    <row r="37" ht="17.25" customHeight="1" s="66">
      <c r="A37" s="65" t="inlineStr">
        <is>
          <t>101000</t>
        </is>
      </c>
      <c r="B37" s="68" t="inlineStr">
        <is>
          <t>광업</t>
        </is>
      </c>
      <c r="C37" s="68" t="inlineStr">
        <is>
          <t>석탄, 원유 및 천연가스 광업</t>
        </is>
      </c>
      <c r="D37" s="68" t="inlineStr">
        <is>
          <t>석탄 광업</t>
        </is>
      </c>
      <c r="E37" s="68" t="inlineStr">
        <is>
          <t>석탄 광업</t>
        </is>
      </c>
      <c r="F37" s="68" t="inlineStr">
        <is>
          <t>◦무연탄, 유연탄, 갈탄 등의 석탄(토탄 제외)을 채굴하는 산업활동을 말한다. 석탄 광업 사업체와 수수료 또는 계약에 의해 채굴한 석탄의 파쇄◦분쇄◦체질 및 선별에 종사하는 사업체는 직접 채광활동을 하지 않더라도 포함하여 분류한다.
&lt;예 시&gt;
·역청질탄(석탄) 채굴 및 선광
·유연탄 채굴 및 선광
·갈탄 채굴 및 선광
&lt;제 외&gt;
·구입한 무·유연탄 및 갈탄으로 연탄 생산(231002)
·구입한 석탄을 건류하여 코크스 생산(231001)
·토탄 채굴(101001)
*석탄 조광권자(→143106)</t>
        </is>
      </c>
      <c r="G37" s="90" t="n">
        <v>96.90000000000001</v>
      </c>
      <c r="H37" s="90" t="n">
        <v>0</v>
      </c>
      <c r="I37" s="90" t="n">
        <v>18.9</v>
      </c>
    </row>
    <row r="38" ht="17.25" customHeight="1" s="66">
      <c r="A38" s="65" t="inlineStr">
        <is>
          <t>101001</t>
        </is>
      </c>
      <c r="B38" s="68" t="inlineStr">
        <is>
          <t>광업</t>
        </is>
      </c>
      <c r="C38" s="68" t="inlineStr">
        <is>
          <t>비금속광물 광업: 연료용 제외</t>
        </is>
      </c>
      <c r="D38" s="68" t="inlineStr">
        <is>
          <t>그 외 기타 비금속광물 광업</t>
        </is>
      </c>
      <c r="E38" s="68" t="inlineStr">
        <is>
          <t>그 외 기타 비금속광물 광업</t>
        </is>
      </c>
      <c r="F38" s="68" t="inlineStr">
        <is>
          <t>◦토탄을 채굴·선광하는 활동</t>
        </is>
      </c>
      <c r="G38" s="90" t="n">
        <v>96.90000000000001</v>
      </c>
      <c r="H38" s="90" t="n">
        <v>0</v>
      </c>
      <c r="I38" s="90" t="n">
        <v>18.9</v>
      </c>
    </row>
    <row r="39" ht="17.25" customHeight="1" s="66">
      <c r="A39" s="65" t="inlineStr">
        <is>
          <t>131000</t>
        </is>
      </c>
      <c r="B39" s="68" t="inlineStr">
        <is>
          <t>광업</t>
        </is>
      </c>
      <c r="C39" s="68" t="inlineStr">
        <is>
          <t>금속 광업</t>
        </is>
      </c>
      <c r="D39" s="68" t="inlineStr">
        <is>
          <t>철 광업</t>
        </is>
      </c>
      <c r="E39" s="68" t="inlineStr">
        <is>
          <t>철 광업</t>
        </is>
      </c>
      <c r="F39" s="68" t="inlineStr">
        <is>
          <t>◦철 성분을 주로 함유하고 있는 각종 철광석을 채굴하는 산업활동으로서 철광석의 정광 및 기타 부수적인 처리활동과 철광석의 응집처리 활동도 포함한다.
&lt;예 시&gt;
·적·갈·자철광석 채굴
·철광석 채굴 및 정광활동
·철광석분 응집처리
·능철광석 채굴
·사철광 채굴
&lt;제 외&gt;
·황화철광 채굴(142104)
*철 조광권자(→143103)</t>
        </is>
      </c>
      <c r="G39" s="90" t="n">
        <v>92.2</v>
      </c>
      <c r="H39" s="90" t="n">
        <v>0</v>
      </c>
      <c r="I39" s="90" t="n">
        <v>23.6</v>
      </c>
    </row>
    <row r="40" ht="17.25" customHeight="1" s="66">
      <c r="A40" s="65" t="inlineStr">
        <is>
          <t>131003</t>
        </is>
      </c>
      <c r="B40" s="68" t="inlineStr">
        <is>
          <t>광업</t>
        </is>
      </c>
      <c r="C40" s="68" t="inlineStr">
        <is>
          <t>금속 광업</t>
        </is>
      </c>
      <c r="D40" s="68" t="inlineStr">
        <is>
          <t>비철금속 광업</t>
        </is>
      </c>
      <c r="E40" s="68" t="inlineStr">
        <is>
          <t>비철금속 광업</t>
        </is>
      </c>
      <c r="F40" s="68" t="inlineStr">
        <is>
          <t>◦텅스텐광, 몰리브덴광석, 중석(흑중석, 회중석 등)광 채굴</t>
        </is>
      </c>
      <c r="G40" s="90" t="n">
        <v>92.2</v>
      </c>
      <c r="H40" s="90" t="n">
        <v>0</v>
      </c>
      <c r="I40" s="90" t="n">
        <v>23.6</v>
      </c>
    </row>
    <row r="41" ht="17.25" customHeight="1" s="66">
      <c r="A41" s="65" t="inlineStr">
        <is>
          <t>132002</t>
        </is>
      </c>
      <c r="B41" s="68" t="inlineStr">
        <is>
          <t>광업</t>
        </is>
      </c>
      <c r="C41" s="68" t="inlineStr">
        <is>
          <t>금속 광업</t>
        </is>
      </c>
      <c r="D41" s="68" t="inlineStr">
        <is>
          <t>비철금속 광업</t>
        </is>
      </c>
      <c r="E41" s="68" t="inlineStr">
        <is>
          <t>비철금속 광업</t>
        </is>
      </c>
      <c r="F41" s="68" t="inlineStr">
        <is>
          <t>◦역청 우라늄광을 포함하여 우라늄 또는 토륨을 주로 함유한 광물의 채굴 및 이들의 정광활동 
◦망간광석의 채굴 및 정광활동
◦연광석 및 아연광석의 채굴 및 정광활동
◦달리 분류되지 않은 비철금속 광업 및 정광활동으로 코발트, 크롬, 탄탈륨, 바나듐, 수은, 니켈, 티타늄, 질코늄, 하프늄, 안티모니, 베리륨, 세륨, 카드미늄 등의 광석을 채굴 및 정광하는 활동</t>
        </is>
      </c>
      <c r="G41" s="90" t="n">
        <v>95.5</v>
      </c>
      <c r="H41" s="90" t="n">
        <v>0</v>
      </c>
      <c r="I41" s="90" t="n">
        <v>23.6</v>
      </c>
    </row>
    <row r="42" ht="17.25" customHeight="1" s="66">
      <c r="A42" s="65" t="inlineStr">
        <is>
          <t>132003</t>
        </is>
      </c>
      <c r="B42" s="68" t="inlineStr">
        <is>
          <t>광업</t>
        </is>
      </c>
      <c r="C42" s="68" t="inlineStr">
        <is>
          <t>금속 광업</t>
        </is>
      </c>
      <c r="D42" s="68" t="inlineStr">
        <is>
          <t>비철금속 광업</t>
        </is>
      </c>
      <c r="E42" s="68" t="inlineStr">
        <is>
          <t>비철금속 광업</t>
        </is>
      </c>
      <c r="F42" s="68" t="inlineStr">
        <is>
          <t>◦금·은 및 백금류 등 귀금속 광석의 채굴 및 정광하는 산업활동을 말한다.
&lt;예 시&gt;
·귀금속 채굴 및 정광
·배금광석 채굴 및 정광
·사금 채취
·동광석 채굴 및 정광
&lt;제 외&gt;
*우라늄 또는 토륨을 주로 함유한 광물의 채굴(→132002)
*텅스텐광, 몰리브덴광, 중석광 채굴(→131003)
*연, 아연, 구리, 주석 채굴(→132002)
*금, 은, 동 조광권자(→143101)
*텅스텐, 망간, 연, 아연 등 조광권자(→143101)</t>
        </is>
      </c>
      <c r="G42" s="90" t="n">
        <v>96.59999999999999</v>
      </c>
      <c r="H42" s="90" t="n">
        <v>0</v>
      </c>
      <c r="I42" s="90" t="n">
        <v>21.2</v>
      </c>
    </row>
    <row r="43" ht="17.25" customHeight="1" s="66">
      <c r="A43" s="65" t="inlineStr">
        <is>
          <t>141001</t>
        </is>
      </c>
      <c r="B43" s="68" t="inlineStr">
        <is>
          <t>광업</t>
        </is>
      </c>
      <c r="C43" s="68" t="inlineStr">
        <is>
          <t>비금속광물 광업: 연료용 제외</t>
        </is>
      </c>
      <c r="D43" s="68" t="inlineStr">
        <is>
          <t>석재, 쇄석 및 모래, 자갈 채취업</t>
        </is>
      </c>
      <c r="E43" s="68" t="inlineStr">
        <is>
          <t>건설용 석재 채굴 및 쇄석 생산업</t>
        </is>
      </c>
      <c r="F43" s="68" t="inlineStr">
        <is>
          <t>◦건설용 또는 기념비용의 각종 암석, 석재 및 판석을 채굴하는 산업활동을 말한다.
&lt;예 시&gt;
·대리석 채취
·화강암 채취
·사암 채취
·암석 채취(건축용)
&lt;제 외&gt;
*직접 분쇄하여 건설용에 적합한 상태의 쇄석 및 석분 생산(→141003)
*조광권자(→143107)</t>
        </is>
      </c>
      <c r="G43" s="90" t="n">
        <v>91.90000000000001</v>
      </c>
      <c r="H43" s="90" t="n">
        <v>0</v>
      </c>
      <c r="I43" s="90" t="n">
        <v>26.7</v>
      </c>
    </row>
    <row r="44" ht="17.25" customHeight="1" s="66">
      <c r="A44" s="65" t="inlineStr">
        <is>
          <t>141002</t>
        </is>
      </c>
      <c r="B44" s="68" t="inlineStr">
        <is>
          <t>광업</t>
        </is>
      </c>
      <c r="C44" s="68" t="inlineStr">
        <is>
          <t>비금속광물 광업: 연료용 제외</t>
        </is>
      </c>
      <c r="D44" s="68" t="inlineStr">
        <is>
          <t>석회석 및 점토 광업</t>
        </is>
      </c>
      <c r="E44" s="68" t="inlineStr">
        <is>
          <t>석회석 및 점토 광업</t>
        </is>
      </c>
      <c r="F44" s="68" t="inlineStr">
        <is>
          <t>◦천연 석고 채굴과 석회, 플라스터, 시멘트 제조용 및 농업용 등의 석회석을 채굴하는 산업활동과 각종 용도의 고령토, 고령토질의 점토 및 기타 점토와 기타 내화용의 토사석을 채굴하는 산업활동을 말한다. 백악 및 백운석을 채굴하는 산업활동도 포함한다.
&lt;예 시&gt;
·석회질암석 채굴
·백운석 채굴
·천연 무수석고(경석고) 채굴
·점토 채취
·남정석, 규선석 채취
·내화재용 광물 채취
·천연 뮬라이트 채취
·홍주석 채취
&lt;제 외&gt;
·하소석고 및 플라스터 제조(269403)
·천연 황산 마그네슘광 채굴(142104)
·흑연(142902), 장석, 백류석, 규조토 채굴(142101)
·샤모트 가공(269201)
·다이나스어스드(Dinas earth) 가공(269201)
*조광권자(→143107)</t>
        </is>
      </c>
      <c r="G44" s="90" t="n">
        <v>94.09999999999999</v>
      </c>
      <c r="H44" s="90" t="n">
        <v>0</v>
      </c>
      <c r="I44" s="90" t="n">
        <v>39.9</v>
      </c>
    </row>
    <row r="45" ht="17.25" customHeight="1" s="66">
      <c r="A45" s="65" t="inlineStr">
        <is>
          <t>141003</t>
        </is>
      </c>
      <c r="B45" s="68" t="inlineStr">
        <is>
          <t>광업</t>
        </is>
      </c>
      <c r="C45" s="68" t="inlineStr">
        <is>
          <t>비금속광물 광업: 연료용 제외</t>
        </is>
      </c>
      <c r="D45" s="68" t="inlineStr">
        <is>
          <t>석재, 쇄석 및 모래, 자갈 채취업</t>
        </is>
      </c>
      <c r="E45" s="68" t="inlineStr">
        <is>
          <t>건설용 석재 채굴 및 쇄석 생산업</t>
        </is>
      </c>
      <c r="F45" s="68" t="inlineStr">
        <is>
          <t>◦각종 암석을 채굴하고 이를 직접 분쇄하여 건축용 재료, 도로 포장재 및 철도 노반용 등 건설용에 적합한 상태의 쇄석 및 석분을 생산하는 산업활동을 말한다.
&lt;예 시&gt;
·쇄석 채굴 생산(건설용)
·암석 채굴 분쇄
·사암 채굴 분쇄
·반려암 채굴 분쇄
&lt;제 외&gt;
·구입한 석재로 쇄석 및 석분 생산(269904)
*건설용 또는 기념비용의 각종 암석, 석재 및 판석 채굴(→141001)
*조광권자(→143107)</t>
        </is>
      </c>
      <c r="G45" s="90" t="n">
        <v>89.40000000000001</v>
      </c>
      <c r="H45" s="90" t="n">
        <v>0</v>
      </c>
      <c r="I45" s="90" t="n">
        <v>26.7</v>
      </c>
    </row>
    <row r="46" ht="17.25" customHeight="1" s="66">
      <c r="A46" s="65" t="inlineStr">
        <is>
          <t>141004</t>
        </is>
      </c>
      <c r="B46" s="68" t="inlineStr">
        <is>
          <t>광업</t>
        </is>
      </c>
      <c r="C46" s="68" t="inlineStr">
        <is>
          <t>비금속광물 광업: 연료용 제외</t>
        </is>
      </c>
      <c r="D46" s="68" t="inlineStr">
        <is>
          <t>석재, 쇄석 및 모래, 자갈 채취업</t>
        </is>
      </c>
      <c r="E46" s="68" t="inlineStr">
        <is>
          <t>모래 및 자갈 채취업</t>
        </is>
      </c>
      <c r="F46" s="68" t="inlineStr">
        <is>
          <t xml:space="preserve">◦건설용 등의 천연 모래 및 자갈을 채취하는 산업활동을 말한다.
&lt;예 시&gt;
·자갈 채취
·장석사 채취
&lt;제 외&gt;
·금속을 함유한 모래 채취는 주로 함유된 금속의 종류에 따라 금속광업의 적합한 항목에 분류
*공업용 모래채취(→141006)
*요업용, 공업용 및 기타의 점토와 토사석 채취(→141006)
*조광권자(→143107)
</t>
        </is>
      </c>
      <c r="G46" s="90" t="n">
        <v>88.3</v>
      </c>
      <c r="H46" s="90" t="n">
        <v>0</v>
      </c>
      <c r="I46" s="90" t="n">
        <v>39.9</v>
      </c>
    </row>
    <row r="47" ht="17.25" customHeight="1" s="66">
      <c r="A47" s="65" t="inlineStr">
        <is>
          <t>141006</t>
        </is>
      </c>
      <c r="B47" s="68" t="inlineStr">
        <is>
          <t>광업</t>
        </is>
      </c>
      <c r="C47" s="68" t="inlineStr">
        <is>
          <t>비금속광물 광업: 연료용 제외</t>
        </is>
      </c>
      <c r="D47" s="68" t="inlineStr">
        <is>
          <t>석재, 쇄석 및 모래, 자갈 채취업</t>
        </is>
      </c>
      <c r="E47" s="68" t="inlineStr">
        <is>
          <t>모래 및 자갈 채취업</t>
        </is>
      </c>
      <c r="F47" s="68" t="inlineStr">
        <is>
          <t>◦유리제조용, 주형제조용 및 연마재용 등의 공업용 모래채취업
◦기타 달리 분류되지 않은 토사석채취업으로 요업용, 공업용 및 기타의 점토와 토사석을 채취하는 업</t>
        </is>
      </c>
      <c r="G47" s="90" t="n">
        <v>94.09999999999999</v>
      </c>
      <c r="H47" s="90" t="n">
        <v>0</v>
      </c>
      <c r="I47" s="90" t="n">
        <v>39.9</v>
      </c>
    </row>
    <row r="48" ht="17.25" customHeight="1" s="66">
      <c r="A48" s="65" t="inlineStr">
        <is>
          <t>142101</t>
        </is>
      </c>
      <c r="B48" s="68" t="inlineStr">
        <is>
          <t>광업</t>
        </is>
      </c>
      <c r="C48" s="68" t="inlineStr">
        <is>
          <t>비금속광물 광업: 연료용 제외</t>
        </is>
      </c>
      <c r="D48" s="68" t="inlineStr">
        <is>
          <t>그 외 기타 비금속광물 광업</t>
        </is>
      </c>
      <c r="E48" s="68" t="inlineStr">
        <is>
          <t>그 외 기타 비금속광물 광업</t>
        </is>
      </c>
      <c r="F48" s="68" t="inlineStr">
        <is>
          <t>◦활석, 동석 등을 채굴하는 업
◦장석, 백류석, 섬장암, 규조토 및 이와 유사한 규산질의 흙을 채굴·채취하는 업</t>
        </is>
      </c>
      <c r="G48" s="90" t="n">
        <v>93.5</v>
      </c>
      <c r="H48" s="90" t="n">
        <v>0</v>
      </c>
      <c r="I48" s="90" t="n">
        <v>23.3</v>
      </c>
    </row>
    <row r="49" ht="17.25" customHeight="1" s="66">
      <c r="A49" s="65" t="inlineStr">
        <is>
          <t>142102</t>
        </is>
      </c>
      <c r="B49" s="68" t="inlineStr">
        <is>
          <t>광업</t>
        </is>
      </c>
      <c r="C49" s="68" t="inlineStr">
        <is>
          <t>비금속광물 광업: 연료용 제외</t>
        </is>
      </c>
      <c r="D49" s="68" t="inlineStr">
        <is>
          <t>화학용 및 비료 원료용 광물 광업</t>
        </is>
      </c>
      <c r="E49" s="68" t="inlineStr">
        <is>
          <t>화학용 및 비료 원료용 광물 광업</t>
        </is>
      </c>
      <c r="F49" s="68" t="inlineStr">
        <is>
          <t>◦납석
&lt;예 시&gt;
·납석(천연동석)</t>
        </is>
      </c>
      <c r="G49" s="90" t="n">
        <v>94.2</v>
      </c>
      <c r="H49" s="90" t="n">
        <v>0</v>
      </c>
      <c r="I49" s="90" t="n">
        <v>23.3</v>
      </c>
    </row>
    <row r="50" ht="17.25" customHeight="1" s="66">
      <c r="A50" s="65" t="inlineStr">
        <is>
          <t>142104</t>
        </is>
      </c>
      <c r="B50" s="68" t="inlineStr">
        <is>
          <t>광업</t>
        </is>
      </c>
      <c r="C50" s="68" t="inlineStr">
        <is>
          <t>비금속광물 광업: 연료용 제외</t>
        </is>
      </c>
      <c r="D50" s="68" t="inlineStr">
        <is>
          <t>화학용 및 비료 원료용 광물 광업</t>
        </is>
      </c>
      <c r="E50" s="68" t="inlineStr">
        <is>
          <t>화학용 및 비료 원료용 광물 광업</t>
        </is>
      </c>
      <c r="F50" s="68" t="inlineStr">
        <is>
          <t>◦질소, 인산, 칼륨을 함유한 광물 및 구아노, 천연 바륨을 함유한 광물, 천연 황산마그네슘광, 색소토, 형석 등의 화학용, 비료용 광물을 채굴◦채취하는 산업활동을 말한다.
&lt;예 시&gt;
·인산염 광석 채굴
·어드칼라(earth collour, 색소토) 채굴
·붕산나트륨광 채굴
·황산마그네슘광 채굴
·황함유 광석 채굴
·빙정석 채굴
·황화철광 채굴
·치올라이트 채굴
·붕산칼슘광 채굴
·명반석 채굴
·붕산광 채굴 
·규회석 채굴
·황산비소광 채굴
·황산바륨광, 탄산바륨광 채굴
·연망가니즈광 채굴(건전지 제조용)
&lt;제 외&gt;
·암염 채취 및 천일염 생산(142200)
·합성 비료 및 질소 화합물 제조(241200~241202)
*납석광 채굴(→142102)
*조광권자(→143107)</t>
        </is>
      </c>
      <c r="G50" s="90" t="n">
        <v>93.5</v>
      </c>
      <c r="H50" s="90" t="n">
        <v>0</v>
      </c>
      <c r="I50" s="90" t="n">
        <v>23.3</v>
      </c>
    </row>
    <row r="51" ht="17.25" customHeight="1" s="66">
      <c r="A51" s="65" t="inlineStr">
        <is>
          <t>142200</t>
        </is>
      </c>
      <c r="B51" s="68" t="inlineStr">
        <is>
          <t>광업</t>
        </is>
      </c>
      <c r="C51" s="68" t="inlineStr">
        <is>
          <t>비금속광물 광업: 연료용 제외</t>
        </is>
      </c>
      <c r="D51" s="68" t="inlineStr">
        <is>
          <t>천일염 생산 및 암염 채취업</t>
        </is>
      </c>
      <c r="E51" s="68" t="inlineStr">
        <is>
          <t>천일염 생산 및 암염 채취업</t>
        </is>
      </c>
      <c r="F51" s="68" t="inlineStr">
        <is>
          <t>◦바닷물 및 기타 천연 염수를 태양열에 의하여 증발시켜 천일염, 염수 및 기타 간수를 생산하거나 암염을 채굴하는 산업활동을 말한다.
&lt;예 시&gt;
·염수 생산(천연)
·식염 채취
·간수 생산(천연)
·순염화나트륨 채취
&lt;제 외&gt;
·천일염을 재처리하거나 해수를 이온 분리 및 결합 방법 등으로 처리하여 가공염 및 정제염을 제조하는 활동(242904)</t>
        </is>
      </c>
      <c r="G51" s="90" t="n">
        <v>93.7</v>
      </c>
      <c r="H51" s="90" t="n">
        <v>0</v>
      </c>
      <c r="I51" s="90" t="n">
        <v>18.3</v>
      </c>
    </row>
    <row r="52" ht="17.25" customHeight="1" s="66">
      <c r="A52" s="65" t="inlineStr">
        <is>
          <t>142902</t>
        </is>
      </c>
      <c r="B52" s="68" t="inlineStr">
        <is>
          <t>광업</t>
        </is>
      </c>
      <c r="C52" s="68" t="inlineStr">
        <is>
          <t>비금속광물 광업: 연료용 제외</t>
        </is>
      </c>
      <c r="D52" s="68" t="inlineStr">
        <is>
          <t>그 외 기타 비금속광물 광업</t>
        </is>
      </c>
      <c r="E52" s="68" t="inlineStr">
        <is>
          <t>그 외 기타 비금속광물 광업</t>
        </is>
      </c>
      <c r="F52" s="68" t="inlineStr">
        <is>
          <t>◦그 외 기타 비금속광물 또는 천연 유출물을 채굴◦채취하는 산업활동을 말한다.
&lt;예 시&gt;
·흑연, 인상흑연 채굴
·토상흑연 채굴
·연마용 광물재료 채굴
·천연 아스팔트 채굴
·석면 채굴
·천연 커런덤 채굴
·다이아몬드 채굴
&lt;제 외&gt;
·천연 석고 및 무수석고 채굴(141002)
*토탄을 채굴·선광((→101001)
*활석, 동석 등 채굴(→142101)
*장석, 백류석, 섬장암, 규조토 및 이와 유사한 규산질의 흙을 채굴·채취(→142101)
*조광권자(→143107)</t>
        </is>
      </c>
      <c r="G52" s="90" t="n">
        <v>94.3</v>
      </c>
      <c r="H52" s="90" t="n">
        <v>0</v>
      </c>
      <c r="I52" s="90" t="n">
        <v>21.4</v>
      </c>
    </row>
    <row r="53" ht="17.25" customHeight="1" s="66">
      <c r="A53" s="65" t="inlineStr">
        <is>
          <t>142909</t>
        </is>
      </c>
      <c r="B53" s="68" t="inlineStr">
        <is>
          <t>광업</t>
        </is>
      </c>
      <c r="C53" s="68" t="inlineStr">
        <is>
          <t>석탄, 원유 및 천연가스 광업</t>
        </is>
      </c>
      <c r="D53" s="68" t="inlineStr">
        <is>
          <t>원유 및 천연가스 채굴업</t>
        </is>
      </c>
      <c r="E53" s="68" t="inlineStr">
        <is>
          <t>원유 및 천연가스 채굴업</t>
        </is>
      </c>
      <c r="F53" s="68" t="inlineStr">
        <is>
          <t>◦각종 형태의 유전, 천연가스전 또는 역청광물 채굴장에서 원유, 천연가스 또는 역청질 광물, 석유 함유 혈암, 타르 모래를 채굴◦추출◦채취하는 산업활동을 말한다. 원유생산에 관련된 부유처리◦탈염◦탈수◦침전◦불순물 제거활동 및 그 생산물의 기본적 특성을 변경시키지 않는 기타 단순한 처리활동이 결합될 수 있으며 수송을 위하여 유전 또는 천연가스전에서 직접 채굴한 천연가스를 액화, 재가스화 및 액화 탄화수소화하는 경우도 포함한다.
&lt;예 시&gt;
·원유 채굴
·타르 모래 채굴
·유모 혈암(oil shale, 油母頁岩) 채굴
·천연가스 채굴
·역청질을 함유한 광물 채굴(석탄 제외)
&lt;제 외&gt;
·수수료 또는 계약에 의하여 유전 또는 천연가스전의 천공, 유정의 완성과 관련 장치의 설치활동 및 기타 원유가스 추출 서비스 활동(142910)
·정제 석유제품의 생산 또는 석유정제 과정에서의 액화가스 생산(232100)
·산업용 가스 제조(241101)
·석유, 천연가스의 운송을 위한 관로(파이프라인) 운영(603000)</t>
        </is>
      </c>
      <c r="G53" s="90" t="n">
        <v>94.3</v>
      </c>
      <c r="H53" s="90" t="n">
        <v>0</v>
      </c>
      <c r="I53" s="90" t="n">
        <v>18.9</v>
      </c>
    </row>
    <row r="54" ht="17.25" customHeight="1" s="66">
      <c r="A54" s="65" t="inlineStr">
        <is>
          <t>142910</t>
        </is>
      </c>
      <c r="B54" s="68" t="inlineStr">
        <is>
          <t>광업</t>
        </is>
      </c>
      <c r="C54" s="68" t="inlineStr">
        <is>
          <t>광업 지원 서비스업</t>
        </is>
      </c>
      <c r="D54" s="68" t="inlineStr">
        <is>
          <t>광업 지원 서비스업</t>
        </is>
      </c>
      <c r="E54" s="68" t="inlineStr">
        <is>
          <t>광업 지원 서비스업</t>
        </is>
      </c>
      <c r="F54" s="68" t="inlineStr">
        <is>
          <t>◦수수료 또는 계약에 의하여 유전 및 천연가스전, 석탄, 금속 및 비금속 광물의 탐사, 지질 조사, 표본 채취 및 시험 굴착, 채굴, 광산 배수활동 등 광업 운영과 관련되는 지원 서비스를 제공하는 산업활동을 말한다.
&lt;예 시&gt;
·원유 및 천연가스 채굴관련 서비스
·유정탑 등 유정 및 천연가스전 관련 장치물 설치ㆍ수리ㆍ폐기 서비스
·유정 및 천연가스전 천공 서비스
·매장량 탐사 서비스
·유정 및 천연가스전 배수ㆍ양수 서비스
·굴착 및 시험 굴착, 표본 채취 서비스
·채광 현장에서 운송목적의 천연가스 액화 및 재가스화 서비스
·유전 및 천연가스전 소방 서비스
·광업 예정지 탐사 및 지질조사 활동
&lt;제 외&gt;
·채광 현장 이외에서 운송을 위해 실시하는 천연가스의 액화와 재가스화(630309)
·지구물리학적 지질 조사 및 탐사업(742113)
·채광기계 등 전문수리(922106)</t>
        </is>
      </c>
      <c r="G54" s="90" t="n">
        <v>94.3</v>
      </c>
      <c r="H54" s="90" t="n">
        <v>0</v>
      </c>
      <c r="I54" s="90" t="n">
        <v>18.9</v>
      </c>
    </row>
    <row r="55" ht="17.25" customHeight="1" s="66">
      <c r="A55" s="65" t="inlineStr">
        <is>
          <t>143101</t>
        </is>
      </c>
      <c r="B55" s="68" t="inlineStr">
        <is>
          <t>광업</t>
        </is>
      </c>
      <c r="C55" s="68" t="inlineStr">
        <is>
          <t>금속 광업</t>
        </is>
      </c>
      <c r="D55" s="68" t="inlineStr">
        <is>
          <t>비철금속 광업</t>
        </is>
      </c>
      <c r="E55" s="68" t="inlineStr">
        <is>
          <t>비철금속 광업(조광권자)</t>
        </is>
      </c>
      <c r="F55" s="68" t="inlineStr">
        <is>
          <t>◦금, 은, 동 조광권자
◦텅스텐, 망간, 연, 아연 등 기타 비철금속 조광권자</t>
        </is>
      </c>
      <c r="G55" s="90" t="n">
        <v>97.5</v>
      </c>
      <c r="H55" s="90" t="n">
        <v>0</v>
      </c>
      <c r="I55" s="90" t="n">
        <v>23.3</v>
      </c>
    </row>
    <row r="56" ht="17.25" customHeight="1" s="66">
      <c r="A56" s="65" t="inlineStr">
        <is>
          <t>143103</t>
        </is>
      </c>
      <c r="B56" s="68" t="inlineStr">
        <is>
          <t>광업</t>
        </is>
      </c>
      <c r="C56" s="68" t="inlineStr">
        <is>
          <t>금속 광업</t>
        </is>
      </c>
      <c r="D56" s="68" t="inlineStr">
        <is>
          <t>철 광업</t>
        </is>
      </c>
      <c r="E56" s="68" t="inlineStr">
        <is>
          <t>철 광업(조광권자)</t>
        </is>
      </c>
      <c r="F56" s="68" t="inlineStr">
        <is>
          <t>◦철 조광권자</t>
        </is>
      </c>
      <c r="G56" s="90" t="n">
        <v>94.90000000000001</v>
      </c>
      <c r="H56" s="90" t="n">
        <v>0</v>
      </c>
      <c r="I56" s="90" t="n">
        <v>23.3</v>
      </c>
    </row>
    <row r="57" ht="17.25" customHeight="1" s="66">
      <c r="A57" s="65" t="inlineStr">
        <is>
          <t>143106</t>
        </is>
      </c>
      <c r="B57" s="68" t="inlineStr">
        <is>
          <t>광업</t>
        </is>
      </c>
      <c r="C57" s="68" t="inlineStr">
        <is>
          <t>석탄, 원유 및 천연가스 광업</t>
        </is>
      </c>
      <c r="D57" s="68" t="inlineStr">
        <is>
          <t>석탄 광업</t>
        </is>
      </c>
      <c r="E57" s="68" t="inlineStr">
        <is>
          <t>석탄 광업(조광권자)</t>
        </is>
      </c>
      <c r="F57" s="68" t="inlineStr">
        <is>
          <t>◦석탄 조광권자</t>
        </is>
      </c>
      <c r="G57" s="90" t="n">
        <v>97.5</v>
      </c>
      <c r="H57" s="90" t="n">
        <v>0</v>
      </c>
      <c r="I57" s="90" t="n">
        <v>23.3</v>
      </c>
    </row>
    <row r="58" ht="17.25" customHeight="1" s="66">
      <c r="A58" s="65" t="inlineStr">
        <is>
          <t>143107</t>
        </is>
      </c>
      <c r="B58" s="68" t="inlineStr">
        <is>
          <t>광업</t>
        </is>
      </c>
      <c r="C58" s="68" t="inlineStr">
        <is>
          <t>비금속광물 광업: 연료용 제외</t>
        </is>
      </c>
      <c r="D58" s="68" t="inlineStr">
        <is>
          <t>석회석 및 점토 광업, 석재, 쇄석 및 모래, 자갈 채취업, 화학용 및 비료 원료용 광물 광업, 그외 기타 비금속광물 광업</t>
        </is>
      </c>
      <c r="E58" s="68" t="inlineStr">
        <is>
          <t>석회석 및 점토 광업, 건설용 석재 채굴 및 쇄석 생산업, 모래 및 자갈 채취업, 화학용 및 비료 원료용 광물 광업, 그 외 기타 비금속광물 광업</t>
        </is>
      </c>
      <c r="F58" s="68" t="inlineStr">
        <is>
          <t>◦조광권자
&lt;예 시&gt;
·석회석, 석고, 점토 조광권자              ·건설용 석재 조광권자
·규사, 자갈 조광권자                      ·화학 및 비료원료용 광물, 납석 조광권자
·흑연, 석면 조광권자</t>
        </is>
      </c>
      <c r="G58" s="90" t="n">
        <v>94.90000000000001</v>
      </c>
      <c r="H58" s="90" t="n">
        <v>0</v>
      </c>
      <c r="I58" s="90" t="n">
        <v>23.3</v>
      </c>
    </row>
    <row r="59" ht="17.25" customHeight="1" s="66">
      <c r="A59" s="65" t="inlineStr">
        <is>
          <t>143200</t>
        </is>
      </c>
      <c r="B59" s="68" t="inlineStr">
        <is>
          <t>사업시설 관리, 사업지원 및 임대 서비스업</t>
        </is>
      </c>
      <c r="C59" s="68" t="inlineStr">
        <is>
          <t>임대업: 부동산 제외</t>
        </is>
      </c>
      <c r="D59" s="68" t="inlineStr">
        <is>
          <t>무형 재산권 임대업</t>
        </is>
      </c>
      <c r="E59" s="68" t="inlineStr">
        <is>
          <t>무형 재산권 임대업</t>
        </is>
      </c>
      <c r="F59" s="68" t="inlineStr">
        <is>
          <t>◦「소득세법 시행령」 제101조제2항에 따른 광업권자, 조광권자(덕대)로부터 받은 조광료(분철료 또는 덕대료) 수입 중 사업소득과세분</t>
        </is>
      </c>
      <c r="G59" s="90" t="n">
        <v>88</v>
      </c>
      <c r="H59" s="90" t="n">
        <v>0</v>
      </c>
      <c r="I59" s="90" t="n">
        <v>15.8</v>
      </c>
    </row>
    <row r="60" ht="17.25" customHeight="1" s="66">
      <c r="A60" s="65" t="inlineStr">
        <is>
          <t>151101</t>
        </is>
      </c>
      <c r="B60" s="68" t="inlineStr">
        <is>
          <t>제조업</t>
        </is>
      </c>
      <c r="C60" s="68" t="inlineStr">
        <is>
          <t>식료품 제조업</t>
        </is>
      </c>
      <c r="D60" s="68" t="inlineStr">
        <is>
          <t>도축업</t>
        </is>
      </c>
      <c r="E60" s="68" t="inlineStr">
        <is>
          <t>육류 도축업(가금류 제외)</t>
        </is>
      </c>
      <c r="F60" s="68" t="inlineStr">
        <is>
          <t>◦가금류를 제외한 소, 돼지 및 각종 육지 동물을 자영 방식으로 도축하는 산업활동을 말한다. 고래 및 수렵물의 도축활동도 포함한다.
&lt;예 시&gt;
·가금류 이외 가축 도축
·고래 도축
·수렵동물 도축
&lt;제 외&gt;
·도축된 고기를 일관된 공정에 의하여 분할·포장(151104)
·구입한 도축 고기 냉동활동(151102,151104)
·구입한 도축 고기를 단순히 분할하여 포장육 판매(512223,522020)
*소, 돼지 및 육지 동물 도축 임가공(→154803)</t>
        </is>
      </c>
      <c r="G60" s="90" t="n">
        <v>91.09999999999999</v>
      </c>
      <c r="H60" s="90" t="n">
        <v>0</v>
      </c>
      <c r="I60" s="90" t="n">
        <v>13.6</v>
      </c>
    </row>
    <row r="61" ht="17.25" customHeight="1" s="66">
      <c r="A61" s="65" t="inlineStr">
        <is>
          <t>151102</t>
        </is>
      </c>
      <c r="B61" s="68" t="inlineStr">
        <is>
          <t>제조업</t>
        </is>
      </c>
      <c r="C61" s="68" t="inlineStr">
        <is>
          <t>식료품 제조업</t>
        </is>
      </c>
      <c r="D61" s="68" t="inlineStr">
        <is>
          <t>육류 가공 및 저장 처리업</t>
        </is>
      </c>
      <c r="E61" s="68" t="inlineStr">
        <is>
          <t>가금류 가공 및 저장 처리업</t>
        </is>
      </c>
      <c r="F61" s="68" t="inlineStr">
        <is>
          <t>◦닭, 오리 등의 각종 가금 고기 및 조류 고기를 냉동◦건조◦훈연◦염장◦조리 및 기타 방법으로 가공 또는 저장 처리하여 고기 가공품이나 식용 또는 비식용의 고기 분말 등을 생산하는 산업활동을 말한다.
&lt;예 시&gt;
·가금 고기 통조림 제조
·가금 고기 훈제품 제조
·가금 고기 햄 제조
·가금 고기 커틀릿 제조
·밀폐 포장한 가금 고기 가공품 제조
&lt;제 외&gt;
·가금 동물 지방 용출 및 정제(151401,151402)
*가금 고기 냉동 임가공(→154804)</t>
        </is>
      </c>
      <c r="G61" s="90" t="n">
        <v>90.2</v>
      </c>
      <c r="H61" s="90" t="n">
        <v>0</v>
      </c>
      <c r="I61" s="90" t="n">
        <v>5.7</v>
      </c>
    </row>
    <row r="62" ht="17.25" customHeight="1" s="66">
      <c r="A62" s="65" t="inlineStr">
        <is>
          <t>151103</t>
        </is>
      </c>
      <c r="B62" s="68" t="inlineStr">
        <is>
          <t>제조업</t>
        </is>
      </c>
      <c r="C62" s="68" t="inlineStr">
        <is>
          <t>식료품 제조업</t>
        </is>
      </c>
      <c r="D62" s="68" t="inlineStr">
        <is>
          <t>도축업</t>
        </is>
      </c>
      <c r="E62" s="68" t="inlineStr">
        <is>
          <t>가금류 도축업</t>
        </is>
      </c>
      <c r="F62" s="68" t="inlineStr">
        <is>
          <t xml:space="preserve">◦닭, 오리 등 가금 및 조류 등을 자영 방식으로 도축하는 산업활동을 말한다.
&lt;예 시&gt;
·가금 도축
&lt;제 외&gt;
·도축된 고기를 일관된 공정에 의하여 분할·포장(151104)
·구입한 도축 고기 냉동활동(151102,151104)
·구입한 도축 고기를 단순히 분할하여 포장육 판매((512223,522020)
*닭, 오리 등 가금 도축 임가공(→154803)
</t>
        </is>
      </c>
      <c r="G62" s="90" t="n">
        <v>91.09999999999999</v>
      </c>
      <c r="H62" s="90" t="n">
        <v>0</v>
      </c>
      <c r="I62" s="90" t="n">
        <v>13.6</v>
      </c>
    </row>
    <row r="63" ht="17.25" customHeight="1" s="66">
      <c r="A63" s="65" t="inlineStr">
        <is>
          <t>151104</t>
        </is>
      </c>
      <c r="B63" s="68" t="inlineStr">
        <is>
          <t>제조업</t>
        </is>
      </c>
      <c r="C63" s="68" t="inlineStr">
        <is>
          <t>식료품 제조업</t>
        </is>
      </c>
      <c r="D63" s="68" t="inlineStr">
        <is>
          <t>육류 가공 및 저장 처리업</t>
        </is>
      </c>
      <c r="E63" s="68" t="inlineStr">
        <is>
          <t>육류 포장육 및 냉동육 가공업(가금류 제외)</t>
        </is>
      </c>
      <c r="F63" s="68" t="inlineStr">
        <is>
          <t xml:space="preserve">◦가금 및 조류를 제외한 각종 육지동물 및 고래 고기 등을 특정 부위별로 절단, 분할하고 진공◦밀폐 포장하여 냉각, 냉동한 부분육, 포장육, 냉동육을 생산하는 산업활동을 말한다.
&lt;예 시&gt;
·밀폐 포장한 가금류 이외 육지 동물고기 부분육 제조
&lt;제 외&gt;
·식용동물(돼지, 소 등) 지방 용출 및 정제(151401,151402)
·가금류 가공품을 제조하는 산업활동(151102)
*육류 가공 냉동 임가공(→154804)
</t>
        </is>
      </c>
      <c r="G63" s="90" t="n">
        <v>90.2</v>
      </c>
      <c r="H63" s="90" t="n">
        <v>0</v>
      </c>
      <c r="I63" s="90" t="n">
        <v>5.2</v>
      </c>
    </row>
    <row r="64" ht="17.25" customHeight="1" s="66">
      <c r="A64" s="65" t="inlineStr">
        <is>
          <t>151105</t>
        </is>
      </c>
      <c r="B64" s="68" t="inlineStr">
        <is>
          <t>제조업</t>
        </is>
      </c>
      <c r="C64" s="68" t="inlineStr">
        <is>
          <t>식료품 제조업</t>
        </is>
      </c>
      <c r="D64" s="68" t="inlineStr">
        <is>
          <t>육류 가공 및 저장 처리업</t>
        </is>
      </c>
      <c r="E64" s="68" t="inlineStr">
        <is>
          <t>육류 기타 가공 및 저장 처리업(가금류 제외)</t>
        </is>
      </c>
      <c r="F64" s="68" t="inlineStr">
        <is>
          <t>◦가금 및 조류를 제외한 각종 육지동물 및 고래 고기를 건조◦훈연◦염장◦조리 및 기타 방법으로 가공 또는 저장 처리하여 고기 가공품이나 식용 또는 비식용의 고기 분말 등을 생산하는 산업활동을 말한다.
&lt;예 시&gt;
·육지 동물고기 통조림 제조
·육지 동물고기 햄, 소시지 제조
·육지 동물고기 커틀릿 제조
·육지 동물고기 건조·훈제품 제조
·육지 동물고기 분 및 조분 생산(식용 또는 비식용)
&lt;제 외&gt;
·식용동물(돼지, 소 등) 지방 용출 및 정제(151401,151402)
·가금류 가공품을 제조하는 산업활동(151102)</t>
        </is>
      </c>
      <c r="G64" s="90" t="n">
        <v>90.2</v>
      </c>
      <c r="H64" s="90" t="n">
        <v>0</v>
      </c>
      <c r="I64" s="90" t="n">
        <v>5.3</v>
      </c>
    </row>
    <row r="65" ht="17.25" customHeight="1" s="66">
      <c r="A65" s="65" t="inlineStr">
        <is>
          <t>151200</t>
        </is>
      </c>
      <c r="B65" s="68" t="inlineStr">
        <is>
          <t>제조업</t>
        </is>
      </c>
      <c r="C65" s="68" t="inlineStr">
        <is>
          <t>식료품 제조업</t>
        </is>
      </c>
      <c r="D65" s="68" t="inlineStr">
        <is>
          <t>수산동물 가공 및 저장 처리업</t>
        </is>
      </c>
      <c r="E65" s="68" t="inlineStr">
        <is>
          <t>수산동물 건조 및 염장품 제조업</t>
        </is>
      </c>
      <c r="F65" s="68" t="inlineStr">
        <is>
          <t xml:space="preserve">◦수산동물의 건제품, 염수장 및 염장품을 자영으로 제조하는 산업활동을 말한다.
&lt;예 시&gt;
·어류 염장품 제조
·어란 염장품 제조
·건어물 제조
·조미하지 않은 젓갈류 제조
·수산동물 훈증·건조제품 제조
·수산동물 염장·건조제품 제조
·수산동물 소건품, 자건품, 염건품, 동건품 제조
&lt;제 외&gt;
·직접 소비용 조미 젓갈제품 제조(151201)
·포장방법을 불문하고 직접 소비할 수 있도록 조미·조제한 수산동물의 염장품 제조(151201)
·수산식물(해조류) 건조 및 염장품 제조(154904)
*수산동물 염장 건조 임가공(→154805) </t>
        </is>
      </c>
      <c r="G65" s="90" t="n">
        <v>94.2</v>
      </c>
      <c r="H65" s="90" t="n">
        <v>0</v>
      </c>
      <c r="I65" s="90" t="n">
        <v>6.3</v>
      </c>
    </row>
    <row r="66" ht="17.25" customHeight="1" s="66">
      <c r="A66" s="65" t="inlineStr">
        <is>
          <t>151201</t>
        </is>
      </c>
      <c r="B66" s="68" t="inlineStr">
        <is>
          <t>제조업</t>
        </is>
      </c>
      <c r="C66" s="68" t="inlineStr">
        <is>
          <t>식료품 제조업</t>
        </is>
      </c>
      <c r="D66" s="68" t="inlineStr">
        <is>
          <t>수산동물 가공 및 저장 처리업</t>
        </is>
      </c>
      <c r="E66" s="68" t="inlineStr">
        <is>
          <t>수산동물 훈제, 조리 및 유사 조제식품 제조업</t>
        </is>
      </c>
      <c r="F66" s="68" t="inlineStr">
        <is>
          <t>◦수산동물을 훈제, 조리, 조미, 분쇄 및 기타 유사 조제 처리하여 더 이상 가공하지 않고도 직접 소비할 수 있는 상태의 수산동물 조제 가공식품을 제조하는 산업활동을 말한다. 이러한 제품은 신선, 냉동, 냉장하거나 밀폐 포장 및 통조림 상태로 포장될 수 있다.
&lt;예 시&gt;
·어묵 및 소시지 제조
·젓갈 조미제품 제조
·어류 조미제품 제조
·수산동물 통조림 제조
·식용 어분 생산
·수산동물 훈제품 제조
&lt;제 외&gt;
·고래고기 가공품 생산(151104,151105)
·비식용 어분 생산(151203)
·직접 소비용으로 가공되지 않은 새우젓, 멸치젓 등의 제조(151200)</t>
        </is>
      </c>
      <c r="G66" s="90" t="n">
        <v>94.2</v>
      </c>
      <c r="H66" s="90" t="n">
        <v>0</v>
      </c>
      <c r="I66" s="90" t="n">
        <v>5</v>
      </c>
    </row>
    <row r="67" ht="17.25" customHeight="1" s="66">
      <c r="A67" s="65" t="inlineStr">
        <is>
          <t>151202</t>
        </is>
      </c>
      <c r="B67" s="68" t="inlineStr">
        <is>
          <t>제조업</t>
        </is>
      </c>
      <c r="C67" s="68" t="inlineStr">
        <is>
          <t>식료품 제조업</t>
        </is>
      </c>
      <c r="D67" s="68" t="inlineStr">
        <is>
          <t>수산동물 가공 및 저장 처리업</t>
        </is>
      </c>
      <c r="E67" s="68" t="inlineStr">
        <is>
          <t>수산동물 냉동품 제조업</t>
        </is>
      </c>
      <c r="F67" s="68" t="inlineStr">
        <is>
          <t xml:space="preserve">◦수산동물을 더 이상 가공하지 않고 냉동하는 산업활동을 말한다. 가공 조제 활동에 결합된 냉동활동은 그 가공 조제품 생산활동에 부수되는 보조활동으로 본다.
&lt;예 시&gt;
·냉동 어류 생산
·냉동 갑각류 생산     
·냉동 수산물 생산
·수산 연체동물 냉동품 생산
&lt;제 외&gt;
·냉동 수산물 보관업(630202)
·해조류 냉동품 제조업(154904)
*수산물 및 가공식품 냉동 임가공(→154804)
</t>
        </is>
      </c>
      <c r="G67" s="90" t="n">
        <v>94.2</v>
      </c>
      <c r="H67" s="90" t="n">
        <v>0</v>
      </c>
      <c r="I67" s="90" t="n">
        <v>7.8</v>
      </c>
    </row>
    <row r="68" ht="17.25" customHeight="1" s="66">
      <c r="A68" s="65" t="inlineStr">
        <is>
          <t>151203</t>
        </is>
      </c>
      <c r="B68" s="68" t="inlineStr">
        <is>
          <t>제조업</t>
        </is>
      </c>
      <c r="C68" s="68" t="inlineStr">
        <is>
          <t>식료품 제조업</t>
        </is>
      </c>
      <c r="D68" s="68" t="inlineStr">
        <is>
          <t>수산동물 가공 및 저장 처리업</t>
        </is>
      </c>
      <c r="E68" s="68" t="inlineStr">
        <is>
          <t>기타 수산동물 가공 및 저장 처리업</t>
        </is>
      </c>
      <c r="F68" s="68" t="inlineStr">
        <is>
          <t>◦수산동물을 기타의 방법으로 가공 및 저장 처리하는 산업활동으로서 직접 소비하기에 적합한 신선◦냉장◦냉동상태의 저민 어육(피레트, fillet)이나 뼈를 제거한 절단 어육을 생산하는 산업활동과 비식용 어분 또는 수산동물 가공품을 혼합한 조제품, 구입한 수산동물의 탈각활동 및 건제품 세절활동을 포함한다. 단순히 머리, 내장, 지느러미, 꼬리 등만을 제거하는 경우는 수산동물의 선별 및 정리활동으로 분류한다.
&lt;예 시&gt;
·어육 생산(등뼈가 제거된)
·수산동물 탈각활동
·저민 어육(피레트, fillet) 생산
·어란 및 간장 생산(부산물)
·오징어채 제조
·비식용 어분 생산
&lt;제 외&gt;
·수수료 또는 계약에 의한 수산물의 선별·정리 활동(052200)
·식용 어분 생산(151201)</t>
        </is>
      </c>
      <c r="G68" s="90" t="n">
        <v>94.2</v>
      </c>
      <c r="H68" s="90" t="n">
        <v>0</v>
      </c>
      <c r="I68" s="90" t="n">
        <v>7.8</v>
      </c>
    </row>
    <row r="69" ht="17.25" customHeight="1" s="66">
      <c r="A69" s="65" t="inlineStr">
        <is>
          <t>151301</t>
        </is>
      </c>
      <c r="B69" s="68" t="inlineStr">
        <is>
          <t>제조업</t>
        </is>
      </c>
      <c r="C69" s="68" t="inlineStr">
        <is>
          <t>식료품 제조업</t>
        </is>
      </c>
      <c r="D69" s="68" t="inlineStr">
        <is>
          <t>과실, 채소 가공 및 저장 처리업</t>
        </is>
      </c>
      <c r="E69" s="68" t="inlineStr">
        <is>
          <t>김치류 제조업</t>
        </is>
      </c>
      <c r="F69" s="68" t="inlineStr">
        <is>
          <t>◦배추 등 채소류를 주원료로 비식용 부분을 제거하고 절임 및 발효시키거나 이를 가공한 배추김치, 기타 김치류를 제조하는 산업활동을 말한다.
&lt;예 시&gt;
·배추 김치 제조
·기타 김치 제조
&lt;제 외&gt;
·김치용 절임배추 제조(151304)
·발효하지 않은 겉절이 채소 식품 제조(151304)
·김칫소 제조(154501)</t>
        </is>
      </c>
      <c r="G69" s="90" t="n">
        <v>92.3</v>
      </c>
      <c r="H69" s="90" t="n">
        <v>0</v>
      </c>
      <c r="I69" s="90" t="n">
        <v>8.4</v>
      </c>
    </row>
    <row r="70" ht="17.25" customHeight="1" s="66">
      <c r="A70" s="65" t="inlineStr">
        <is>
          <t>151302</t>
        </is>
      </c>
      <c r="B70" s="68" t="inlineStr">
        <is>
          <t>제조업</t>
        </is>
      </c>
      <c r="C70" s="68" t="inlineStr">
        <is>
          <t>식료품 제조업</t>
        </is>
      </c>
      <c r="D70" s="68" t="inlineStr">
        <is>
          <t>과실, 채소 가공 및 저장 처리업</t>
        </is>
      </c>
      <c r="E70" s="68" t="inlineStr">
        <is>
          <t>기타 과실ㆍ채소 가공 및 저장 처리업</t>
        </is>
      </c>
      <c r="F70" s="68" t="inlineStr">
        <is>
          <t>◦절임 가공을 제외한 건조, 조리, 분쇄, 씨 제거, 껍질 벗기기 및 기타 방법으로 과실 및 채소 가공품을 제조하는 산업활동을 말한다. 과실이나 채소를 직접 가공하여 농축 원액 및 원액 주스(즙)를 제조하는 산업활동을 포함한다.
&lt;예 시&gt;
·과실 및 채소 건조식품 제조
·과실 및 채소 주스 제조
·과실 통조림 제조
·얇게 벗긴 감자 조각(플레이크, flake), 냉동 및 으깬 감자 제조
·과실 및 채소 잼, 젤리 제조
·음료용 및 향신용 작물 건조
·과실 및 채소 샐러드 제조
·볶음견과
&lt;제 외&gt;
·구입한 농축액 및 원액을 희석하여 희석 주스 또는 과일 주스를 제조하는 경우(155402)
·마요네즈, 케첩 및 혼합 조미료 제조(154501)
·건조한 강낭콩을 가공하여 분 및 조분 제조(153103)
*과실 및 채소 냉동 임가공(→154804)
*과실 및 채소 건조식품 임가공(→154805)</t>
        </is>
      </c>
      <c r="G70" s="90" t="n">
        <v>92.3</v>
      </c>
      <c r="H70" s="90" t="n">
        <v>0</v>
      </c>
      <c r="I70" s="90" t="n">
        <v>9.699999999999999</v>
      </c>
    </row>
    <row r="71" ht="17.25" customHeight="1" s="66">
      <c r="A71" s="65" t="inlineStr">
        <is>
          <t>151304</t>
        </is>
      </c>
      <c r="B71" s="68" t="inlineStr">
        <is>
          <t>제조업</t>
        </is>
      </c>
      <c r="C71" s="68" t="inlineStr">
        <is>
          <t>식료품 제조업</t>
        </is>
      </c>
      <c r="D71" s="68" t="inlineStr">
        <is>
          <t>과실, 채소 가공 및 저장 처리업</t>
        </is>
      </c>
      <c r="E71" s="68" t="inlineStr">
        <is>
          <t>과실 및 그 외 채소 절임식품 제조업</t>
        </is>
      </c>
      <c r="F71" s="68" t="inlineStr">
        <is>
          <t>◦각종 과실 및 채소를 소금, 식초, 장류, 기름, 혼합 양념 등에 절여 단무지, 피클 등 과실 및 채소 절임식품을 제조하는 산업활동을 말한다.
&lt;예 시&gt;
·단무지 제조
·오이피클 제조
·채소 절임식품 제조
·견과 절임식품 제조
·과실 절임식품 제조
&lt;제 외&gt;
·설탕에 절인 과실, 견과 및 채소 가공품 제조(154102)
·김치류 제조(151301)</t>
        </is>
      </c>
      <c r="G71" s="90" t="n">
        <v>92.3</v>
      </c>
      <c r="H71" s="90" t="n">
        <v>0</v>
      </c>
      <c r="I71" s="90" t="n">
        <v>8.199999999999999</v>
      </c>
    </row>
    <row r="72" ht="17.25" customHeight="1" s="66">
      <c r="A72" s="65" t="inlineStr">
        <is>
          <t>151400</t>
        </is>
      </c>
      <c r="B72" s="68" t="inlineStr">
        <is>
          <t>제조업</t>
        </is>
      </c>
      <c r="C72" s="68" t="inlineStr">
        <is>
          <t>식료품 제조업</t>
        </is>
      </c>
      <c r="D72" s="68" t="inlineStr">
        <is>
          <t>동물성 및 식물성 유지 제조업</t>
        </is>
      </c>
      <c r="E72" s="68" t="inlineStr">
        <is>
          <t>식물성 유지 제조업</t>
        </is>
      </c>
      <c r="F72" s="68" t="inlineStr">
        <is>
          <t>◦기름을 함유한 각종 식물성 물질로부터 조유를 생산하는 산업활동을 말한다. 참깨기름 및 들깨기름을 추출하는 활동 및 비식용의 식물성 정제유를 제조하는 산업활동도 포함한다.
&lt;예 시&gt;
·대두유 생산
·옥수수기름 추출
·식물성 왁스 생산
·면실유 생산
·낙화생유 생산
·피마자유 생산
·식물성 혼합 유지 및 희석물 생산
&lt;제 외&gt;
·식용 정제유 및 경화유를 생산하는 경우(151402)
·옥수수의 습식 가공과 결합된 옥수수기름을 결합 생산(153105)
·식물성 유지에 물 등을 혼합하고 산화 또는 중합 등 화학적 변성 처리하여 가죽광택용 오일제품을 생산(242405)
*식물성 유지 원료의 착유 임가공(→154805)</t>
        </is>
      </c>
      <c r="G72" s="90" t="n">
        <v>92.59999999999999</v>
      </c>
      <c r="H72" s="90" t="n">
        <v>0</v>
      </c>
      <c r="I72" s="90" t="n">
        <v>4.1</v>
      </c>
    </row>
    <row r="73" ht="17.25" customHeight="1" s="66">
      <c r="A73" s="65" t="inlineStr">
        <is>
          <t>151401</t>
        </is>
      </c>
      <c r="B73" s="68" t="inlineStr">
        <is>
          <t>제조업</t>
        </is>
      </c>
      <c r="C73" s="68" t="inlineStr">
        <is>
          <t>식료품 제조업</t>
        </is>
      </c>
      <c r="D73" s="68" t="inlineStr">
        <is>
          <t>동물성 및 식물성 유지 제조업</t>
        </is>
      </c>
      <c r="E73" s="68" t="inlineStr">
        <is>
          <t>동물성 유지 제조업</t>
        </is>
      </c>
      <c r="F73" s="68" t="inlineStr">
        <is>
          <t>◦각종 육지 및 수산 동물성 물질로 조유를 생산하는 산업활동을 말한다. 동물성의 비식용 정제유를 제조하는 산업활동도 포함한다.
&lt;예 시&gt;
·동물(소, 돼지 등) 지방 생산
·수산동물 유지 생산
·어류의 간유 생산
·우각유 및 그 분획물 생산
·라드스테아린 생산
·올레오유 생산
&lt;제 외&gt;
·식용 동물성 유지의 정제, 조제 및 가공유 생산(151402)
*동물성 유지 원료의 착유 임가공(→154805)</t>
        </is>
      </c>
      <c r="G73" s="90" t="n">
        <v>92.59999999999999</v>
      </c>
      <c r="H73" s="90" t="n">
        <v>0</v>
      </c>
      <c r="I73" s="90" t="n">
        <v>5.9</v>
      </c>
    </row>
    <row r="74" ht="17.25" customHeight="1" s="66">
      <c r="A74" s="65" t="inlineStr">
        <is>
          <t>151402</t>
        </is>
      </c>
      <c r="B74" s="68" t="inlineStr">
        <is>
          <t>제조업</t>
        </is>
      </c>
      <c r="C74" s="68" t="inlineStr">
        <is>
          <t>식료품 제조업</t>
        </is>
      </c>
      <c r="D74" s="68" t="inlineStr">
        <is>
          <t>동물성 및 식물성 유지 제조업</t>
        </is>
      </c>
      <c r="E74" s="68" t="inlineStr">
        <is>
          <t>식용 정제유 및 가공유 제조업</t>
        </is>
      </c>
      <c r="F74" s="68" t="inlineStr">
        <is>
          <t>◦동물성 및 식물성 기름을 정제․경화 및 기타 가공하여 식용 정제유, 식용 경화유 및 기타 식용 가공기름을 생산하는 산업활동을 말한다.
&lt;예 시&gt;
·마가린 제조
·쇼트닝 제조
·식용 가공유 생산    
·이미테이션 라드 생산
·식용 경화유 제조
·라드 정제 생산
&lt;제 외&gt;
·참깨기름 및 들기름 생산(151400)
·비식용 정제유 생산(151401 또는 151400)</t>
        </is>
      </c>
      <c r="G74" s="90" t="n">
        <v>92.59999999999999</v>
      </c>
      <c r="H74" s="90" t="n">
        <v>0</v>
      </c>
      <c r="I74" s="90" t="n">
        <v>4.1</v>
      </c>
    </row>
    <row r="75" ht="17.25" customHeight="1" s="66">
      <c r="A75" s="65" t="inlineStr">
        <is>
          <t>152001</t>
        </is>
      </c>
      <c r="B75" s="68" t="inlineStr">
        <is>
          <t>제조업</t>
        </is>
      </c>
      <c r="C75" s="68" t="inlineStr">
        <is>
          <t>식료품 제조업</t>
        </is>
      </c>
      <c r="D75" s="68" t="inlineStr">
        <is>
          <t>낙농제품 및 식용 빙과류 제조업</t>
        </is>
      </c>
      <c r="E75" s="68" t="inlineStr">
        <is>
          <t>액상 시유 및 기타 낙농제품 제조업(분유 및 조제분유)</t>
        </is>
      </c>
      <c r="F75" s="68" t="inlineStr">
        <is>
          <t>◦분유 및 조제분유
&lt;예 시&gt;
·이유식(우유기저)포함
·가당분유, 전지분유, 탈지분유</t>
        </is>
      </c>
      <c r="G75" s="90" t="n">
        <v>94.90000000000001</v>
      </c>
      <c r="H75" s="90" t="n">
        <v>0</v>
      </c>
      <c r="I75" s="90" t="n">
        <v>6.1</v>
      </c>
    </row>
    <row r="76" ht="17.25" customHeight="1" s="66">
      <c r="A76" s="65" t="inlineStr">
        <is>
          <t>152002</t>
        </is>
      </c>
      <c r="B76" s="68" t="inlineStr">
        <is>
          <t>제조업</t>
        </is>
      </c>
      <c r="C76" s="68" t="inlineStr">
        <is>
          <t>식료품 제조업</t>
        </is>
      </c>
      <c r="D76" s="68" t="inlineStr">
        <is>
          <t>낙농제품 및 식용 빙과류 제조업</t>
        </is>
      </c>
      <c r="E76" s="68" t="inlineStr">
        <is>
          <t>액상 시유 및 기타 낙농제품 제조업</t>
        </is>
      </c>
      <c r="F76" s="68" t="inlineStr">
        <is>
          <t>◦젖을 분리, 여과, 살균, 발효 및 기타 처리하여 액상 시유, 발효유 및 관련 낙농제품을 제조하거나 기타 액상유 제품을 가당, 농축, 응축, 건조시켜 가당 우유, 연유, 농축유 제품을 제조하는 산업활동을 말한다. 여기에는 치즈, 버터, 유당 등과 같이 젖을 주원료로 제조되는 유가공품을 포함한다.
&lt;예 시&gt;
·생크림 제조
·치즈 제조
·버터밀크 제조
·유장 제조
·케피어(발포성 발효유) 제조
·발효유 제조
·농축유 제조
·버터 제조
·연유 제조
·유당 및 유당 시럽 제조
&lt;제 외&gt;
·아이스크림 및 기타 식용 빙과류 제조(152003)
*분유 및 조제분유(→152001)</t>
        </is>
      </c>
      <c r="G76" s="90" t="n">
        <v>91.2</v>
      </c>
      <c r="H76" s="90" t="n">
        <v>0</v>
      </c>
      <c r="I76" s="90" t="n">
        <v>7.9</v>
      </c>
    </row>
    <row r="77" ht="17.25" customHeight="1" s="66">
      <c r="A77" s="65" t="inlineStr">
        <is>
          <t>152003</t>
        </is>
      </c>
      <c r="B77" s="68" t="inlineStr">
        <is>
          <t>제조업</t>
        </is>
      </c>
      <c r="C77" s="68" t="inlineStr">
        <is>
          <t>식료품 제조업</t>
        </is>
      </c>
      <c r="D77" s="68" t="inlineStr">
        <is>
          <t>낙농제품 및 식용 빙과류 제조업</t>
        </is>
      </c>
      <c r="E77" s="68" t="inlineStr">
        <is>
          <t>아이스크림 및 기타 식용 빙과류 제조업</t>
        </is>
      </c>
      <c r="F77" s="68" t="inlineStr">
        <is>
          <t>◦우유를 주원료로 하는지 여부를 불문하고 아이스크림, 냉동 디저트 및 기타 식용 빙과류를 제조하는 산업활동을 말한다.
&lt;예 시&gt;
·아이스크림 제조
·셔벗(sherbet) 제조
&lt;제 외&gt;
·얼음 제조(155404)</t>
        </is>
      </c>
      <c r="G77" s="90" t="n">
        <v>91.2</v>
      </c>
      <c r="H77" s="90" t="n">
        <v>0</v>
      </c>
      <c r="I77" s="90" t="n">
        <v>6.1</v>
      </c>
    </row>
    <row r="78" ht="17.25" customHeight="1" s="66">
      <c r="A78" s="65" t="inlineStr">
        <is>
          <t>153101</t>
        </is>
      </c>
      <c r="B78" s="68" t="inlineStr">
        <is>
          <t>제조업</t>
        </is>
      </c>
      <c r="C78" s="68" t="inlineStr">
        <is>
          <t>식료품 제조업</t>
        </is>
      </c>
      <c r="D78" s="68" t="inlineStr">
        <is>
          <t>곡물 가공품 제조업</t>
        </is>
      </c>
      <c r="E78" s="68" t="inlineStr">
        <is>
          <t>기타 곡물 가공품 제조업</t>
        </is>
      </c>
      <c r="F78" s="68" t="inlineStr">
        <is>
          <t>◦낱알 또는 얇은 조각 상태의 곡물을 찌거나 볶거나 팽창 또는 기타 방법으로 조제하여 곡물 가공품을 제조하는 산업활동을 말한다. 이러한 곡물 가공품은 식염, 설탕, 맥아엑스, 당밀, 과실 또는 코코아, 꿀, 채소 등이 첨가될 수 있으나 곡물 가공품의 특성을 변경시키지 않아야 하며 보존성이 있어야 한다.
&lt;예 시&gt;
·찐 곡물 제조
·콘플레이크 제조
·훈제, 조리 곡물 제조
·전투식량용 곡물 가공품 제조
&lt;제 외&gt;
·도시락, 피자, 김밥, 만두 및 식사용 조리식품 제조(153107,154103)
·조제 수프, 간식용 조제식품 및 균질화 식품 제조(154907)
·빵(154104) 및 곡분 과자 제조(154102)
*튀김 곡물 임가공(→154805)</t>
        </is>
      </c>
      <c r="G78" s="90" t="n">
        <v>90.2</v>
      </c>
      <c r="H78" s="90" t="n">
        <v>0</v>
      </c>
      <c r="I78" s="90" t="n">
        <v>8.6</v>
      </c>
    </row>
    <row r="79" ht="17.25" customHeight="1" s="66">
      <c r="A79" s="65" t="inlineStr">
        <is>
          <t>153102</t>
        </is>
      </c>
      <c r="B79" s="68" t="inlineStr">
        <is>
          <t>제조업</t>
        </is>
      </c>
      <c r="C79" s="68" t="inlineStr">
        <is>
          <t>식료품 제조업</t>
        </is>
      </c>
      <c r="D79" s="68" t="inlineStr">
        <is>
          <t>곡물 가공품 제조업</t>
        </is>
      </c>
      <c r="E79" s="68" t="inlineStr">
        <is>
          <t>곡물 도정업</t>
        </is>
      </c>
      <c r="F79" s="68" t="inlineStr">
        <is>
          <t>◦각종 곡물을 도정하여 도정 곡물을 생산하는 산업활동을 말한다.
&lt;예 시&gt;
·도정 쌀, 보리, 밀 생산
·압맥 생산
·도정 곡물 생산
·정미소 운영
&lt;제 외&gt;
*수수료 또는 계약에 의하여 벼, 밀, 보리 등의 곡물 도정 (정부미도정 포함)(→154801)</t>
        </is>
      </c>
      <c r="G79" s="90" t="n">
        <v>97.5</v>
      </c>
      <c r="H79" s="90" t="n">
        <v>0</v>
      </c>
      <c r="I79" s="90" t="n">
        <v>3</v>
      </c>
    </row>
    <row r="80" ht="17.25" customHeight="1" s="66">
      <c r="A80" s="65" t="inlineStr">
        <is>
          <t>153103</t>
        </is>
      </c>
      <c r="B80" s="68" t="inlineStr">
        <is>
          <t>제조업</t>
        </is>
      </c>
      <c r="C80" s="68" t="inlineStr">
        <is>
          <t>식료품 제조업</t>
        </is>
      </c>
      <c r="D80" s="68" t="inlineStr">
        <is>
          <t>곡물 가공품 제조업</t>
        </is>
      </c>
      <c r="E80" s="68" t="inlineStr">
        <is>
          <t>곡물 제분업</t>
        </is>
      </c>
      <c r="F80" s="68" t="inlineStr">
        <is>
          <t>◦각종 곡물, 건조한 채소, 뿌리 또는 덩이줄기(괴경), 과실 및 견과 등을 분쇄 또는 마쇄하여 이들의 분 및 조분을 생산하는 산업활동을 말한다. 동물사료용 재료와 줄기, 뿌리 등을 절단◦분쇄하는 활동은 제외된다.
&lt;예 시&gt;
·곡물 제분제품 생산
·밀가루 및 콩가루 생산
·제분소 운영  
·쌀가루 생산
·줄기 및 뿌리 분쇄물 생산
·건조된 강낭콩 분과 조분 생산
&lt;제 외&gt;
·건조되지 않은 감자를 가공하여 분과 조분을 생산할 경우(151302)
·타피오카 제조 및 옥수수의 습식 가공(153105)
·고춧가루, 후춧가루, 겨자 등 천연 향신료 분쇄활동(154501)
·동물사료용 재료의 분쇄물을 생산하는 경우(153104)
*떡방앗간 (→154802)
*수수료 또는 계약에 의하여 벼, 밀, 보리 등의 곡물 제분업(정부미 임가공 포함)(→154806)</t>
        </is>
      </c>
      <c r="G80" s="90" t="n">
        <v>92.59999999999999</v>
      </c>
      <c r="H80" s="90" t="n">
        <v>0</v>
      </c>
      <c r="I80" s="90" t="n">
        <v>6</v>
      </c>
    </row>
    <row r="81" ht="17.25" customHeight="1" s="66">
      <c r="A81" s="65" t="inlineStr">
        <is>
          <t>153104</t>
        </is>
      </c>
      <c r="B81" s="68" t="inlineStr">
        <is>
          <t>제조업</t>
        </is>
      </c>
      <c r="C81" s="68" t="inlineStr">
        <is>
          <t>식료품 제조업</t>
        </is>
      </c>
      <c r="D81" s="68" t="inlineStr">
        <is>
          <t>동물용 사료 및 조제식품 제조업</t>
        </is>
      </c>
      <c r="E81" s="68" t="inlineStr">
        <is>
          <t>반려동물용 사료 제조업, 단미사료 및 기타사료 제조업</t>
        </is>
      </c>
      <c r="F81" s="68" t="inlineStr">
        <is>
          <t>◦기타 건조되지 않은 동물사료용 재료와 줄기, 뿌리 등을 거칠게 절단·분쇄하는 업</t>
        </is>
      </c>
      <c r="G81" s="90" t="n">
        <v>90.2</v>
      </c>
      <c r="H81" s="90" t="n">
        <v>0</v>
      </c>
      <c r="I81" s="90" t="n">
        <v>9.300000000000001</v>
      </c>
    </row>
    <row r="82" ht="17.25" customHeight="1" s="66">
      <c r="A82" s="65" t="inlineStr">
        <is>
          <t>153105</t>
        </is>
      </c>
      <c r="B82" s="68" t="inlineStr">
        <is>
          <t>제조업</t>
        </is>
      </c>
      <c r="C82" s="68" t="inlineStr">
        <is>
          <t>식료품 제조업</t>
        </is>
      </c>
      <c r="D82" s="68" t="inlineStr">
        <is>
          <t>전분제품 및 당류 제조업</t>
        </is>
      </c>
      <c r="E82" s="68" t="inlineStr">
        <is>
          <t>전분제품 및 당류 제조업</t>
        </is>
      </c>
      <c r="F82" s="68" t="inlineStr">
        <is>
          <t>◦각종 곡물 및 감자, 고구마 등의 식물성 재료로 전분, 글루텐, 타피오카를 제조하는 산업활동을 말한다. 옥수수 습식 가공과정에서 생산된 글루텐, 전분 등을 제조하는 산업활동도 포함한다.
&lt;예 시&gt;
·글루텐 제조
·가용성 녹말(전분) 제조
·타피오카 제조
·습식 옥수수 가공 생산품(배아, 옥피, 글루텐, 전분 등)
&lt;제 외&gt;
·접착용 풀 생산(242901)
·조각 감자, 으깬 감자 제조(151302)
*각종 포도당, 과당, 맥아당 등 당류 제조(→153202)</t>
        </is>
      </c>
      <c r="G82" s="90" t="n">
        <v>92.2</v>
      </c>
      <c r="H82" s="90" t="n">
        <v>0</v>
      </c>
      <c r="I82" s="90" t="n">
        <v>7.8</v>
      </c>
    </row>
    <row r="83" ht="17.25" customHeight="1" s="66">
      <c r="A83" s="65" t="inlineStr">
        <is>
          <t>153106</t>
        </is>
      </c>
      <c r="B83" s="68" t="inlineStr">
        <is>
          <t>제조업</t>
        </is>
      </c>
      <c r="C83" s="68" t="inlineStr">
        <is>
          <t>식료품 제조업</t>
        </is>
      </c>
      <c r="D83" s="68" t="inlineStr">
        <is>
          <t>곡물 가공품 제조업</t>
        </is>
      </c>
      <c r="E83" s="68" t="inlineStr">
        <is>
          <t>곡물 혼합 분말 및 반죽 제조업</t>
        </is>
      </c>
      <c r="F83" s="68" t="inlineStr">
        <is>
          <t>◦곡분 및 기타 분말을 혼합하여 파이, 비스킷, 빵, 과자 등의 베이커리제품 제조용 반죽이나 혼합 분말을 생산하는 산업활동을 말한다. 각종 분말을 혼합하여 인조 곡물을 제조하는 경우와 곡물을 주재료로 떡고물 및 빵속을 제조하는 산업활동도 여기에 포함한다.
&lt;예 시&gt;
·만두피 제조
·제과 및 제빵용 가루반죽 제조
·곡분제 빵속 제조
·곡분제 떡고물 제조
·면류 제조용 혼합분말 및 반죽 제조
&lt;제 외&gt;
·빵(154104) 및 곡분과자 제조(154102)</t>
        </is>
      </c>
      <c r="G83" s="90" t="n">
        <v>90.2</v>
      </c>
      <c r="H83" s="90" t="n">
        <v>0</v>
      </c>
      <c r="I83" s="90" t="n">
        <v>6.8</v>
      </c>
    </row>
    <row r="84" ht="17.25" customHeight="1" s="66">
      <c r="A84" s="65" t="inlineStr">
        <is>
          <t>153107</t>
        </is>
      </c>
      <c r="B84" s="68" t="inlineStr">
        <is>
          <t>제조업</t>
        </is>
      </c>
      <c r="C84" s="68" t="inlineStr">
        <is>
          <t>식료품 제조업</t>
        </is>
      </c>
      <c r="D84" s="68" t="inlineStr">
        <is>
          <t>도시락 및 식사용 조리식품 제조업</t>
        </is>
      </c>
      <c r="E84" s="68" t="inlineStr">
        <is>
          <t>도시락류 제조업</t>
        </is>
      </c>
      <c r="F84" s="68" t="inlineStr">
        <is>
          <t>◦곡류, 육류, 어패류, 채소류 등 동․식물성 식품을 혼합, 배합하여 도시락, 김밥류, 샌드위치류 등 식사용 조리식품을 제조하는 산업활동을 말한다. 별도의 장소에서 다량의 집단 급식용 식사를 제조할 수 있는 특정 시설을 갖추고 계약기관에 일정 기간 동안 지속적으로 급식용 식사를 조제하여 운송․공급하는 산업활동을 포함한다. 식사용 조리식품은 양념 이외에 두 가지 이상의 명확하게 구분되는 재료가 포함되어야 한다. 냉동 포장하거나, 레토르트 용기 등으로 가공 처리한 식사용 조리식품을 제조하는 산업활동을 포함한다.
&lt;예 시&gt;
·도시락 제조
·김밥 제조
·식사용 죽류 제조    
·집단급식용 식사 제조(구내식당 제외)
&lt;제 외&gt;
·곡분 등 분말로 만든 균질화식품 제조(154907)
·접객시설을 갖춘 구내식당을 운영하거나(552109) 특정 행사장 단위로 공급하는 연회 급식 서비스(552105)
·직접 조리한 도시락 및 김밥을 최종소비자에게 소매하는 경우(552108, 552123)</t>
        </is>
      </c>
      <c r="G84" s="90" t="n">
        <v>90.2</v>
      </c>
      <c r="H84" s="90" t="n">
        <v>0</v>
      </c>
      <c r="I84" s="90" t="n">
        <v>7.7</v>
      </c>
    </row>
    <row r="85" ht="17.25" customHeight="1" s="66">
      <c r="A85" s="65" t="inlineStr">
        <is>
          <t>153202</t>
        </is>
      </c>
      <c r="B85" s="68" t="inlineStr">
        <is>
          <t>제조업</t>
        </is>
      </c>
      <c r="C85" s="68" t="inlineStr">
        <is>
          <t>식료품 제조업</t>
        </is>
      </c>
      <c r="D85" s="68" t="inlineStr">
        <is>
          <t>전분제품 및 당류 제조업</t>
        </is>
      </c>
      <c r="E85" s="68" t="inlineStr">
        <is>
          <t>전분제품 및 당류 제조업</t>
        </is>
      </c>
      <c r="F85" s="68" t="inlineStr">
        <is>
          <t>◦각종 포도당, 과당, 맥아당 등 당류를 제조하는 산업활동을 말한다.
&lt;예 시&gt;
·맥아당, 포도당 및 과당 제조(화학적 처리를 통해 순수한 성질의 것도 포함)
·물엿 제조
·이눌린 제조
&lt;제 외&gt;
·사탕수수당 및 자당 제조(154200)
·유당 제조(152002)
·인조꿀, 캐러멜당 제조(154509)
·전화당 제조(154200)
·화학적 처리(가수분해 등)를 통하여 얻은 순수한 당 이성체(갈락토오스, 소르보오스, 크실로오스, 트레할로오스, 리보오스, 아라비노오스, 라피노오스 제조(242303)
*전분, 글루텐, 타피오카등 전분제품 제조(→153105)</t>
        </is>
      </c>
      <c r="G85" s="90" t="n">
        <v>89.8</v>
      </c>
      <c r="H85" s="90" t="n">
        <v>0</v>
      </c>
      <c r="I85" s="90" t="n">
        <v>7.1</v>
      </c>
    </row>
    <row r="86" ht="17.25" customHeight="1" s="66">
      <c r="A86" s="65" t="inlineStr">
        <is>
          <t>153300</t>
        </is>
      </c>
      <c r="B86" s="68" t="inlineStr">
        <is>
          <t>제조업</t>
        </is>
      </c>
      <c r="C86" s="68" t="inlineStr">
        <is>
          <t>식료품 제조업</t>
        </is>
      </c>
      <c r="D86" s="68" t="inlineStr">
        <is>
          <t>동물용 사료 및 조제식품 제조업</t>
        </is>
      </c>
      <c r="E86" s="68" t="inlineStr">
        <is>
          <t>반려동물용 사료 제조업, 배합사료 제조업</t>
        </is>
      </c>
      <c r="F86" s="68" t="inlineStr">
        <is>
          <t>◦가금류를 포함한 가축용, 어류 양식용, 반려애완동물용, 실험 동물용 각종 배합사료를 생산하는 산업활동을 말한다.
&lt;예 시&gt;
·가축용 배합사료 제조
·어류용 배합사료 제조
·반려·애완동물용, 실험 동물용 배합사료 제조</t>
        </is>
      </c>
      <c r="G86" s="90" t="n">
        <v>96</v>
      </c>
      <c r="H86" s="90" t="n">
        <v>0</v>
      </c>
      <c r="I86" s="90" t="n">
        <v>9.9</v>
      </c>
    </row>
    <row r="87" ht="17.25" customHeight="1" s="66">
      <c r="A87" s="65" t="inlineStr">
        <is>
          <t>153301</t>
        </is>
      </c>
      <c r="B87" s="68" t="inlineStr">
        <is>
          <t>제조업</t>
        </is>
      </c>
      <c r="C87" s="68" t="inlineStr">
        <is>
          <t>식료품 제조업</t>
        </is>
      </c>
      <c r="D87" s="68" t="inlineStr">
        <is>
          <t>동물용 사료 및 조제식품 제조업</t>
        </is>
      </c>
      <c r="E87" s="68" t="inlineStr">
        <is>
          <t>반려동물용 사료 제조업, 단미사료 및 기타사료 제조업</t>
        </is>
      </c>
      <c r="F87" s="68" t="inlineStr">
        <is>
          <t>◦식물성, 동물성 또는 광물성 물질로서 사료로 직접 사용되거나 배합사료의 원료로 사용되는 단미사료를 생산하는 산업활동과 배합사료용 혼합 조제품 및 조제 보조사료 등을 제조하는 산업활동을 말한다. 개껌 및 비스킷 등의 반려애완동물용 기호식품을 제조하는 산업활동도 포함한다.
&lt;예 시&gt;
·단미사료(원료 사료) 제조
·개껌 및 비스킷 제조(동물용)
·조제 보조사료 제조
·음식폐기물 가공 단미사료 생산
&lt;제 외&gt;
*건조되지 않은 동물사료용 재료와 줄기, 뿌리 등을 거칠게 절단·분쇄
(→153104)</t>
        </is>
      </c>
      <c r="G87" s="90" t="n">
        <v>96.2</v>
      </c>
      <c r="H87" s="90" t="n">
        <v>0</v>
      </c>
      <c r="I87" s="90" t="n">
        <v>11.7</v>
      </c>
    </row>
    <row r="88" ht="17.25" customHeight="1" s="66">
      <c r="A88" s="65" t="inlineStr">
        <is>
          <t>154101</t>
        </is>
      </c>
      <c r="B88" s="68" t="inlineStr">
        <is>
          <t>제조업</t>
        </is>
      </c>
      <c r="C88" s="68" t="inlineStr">
        <is>
          <t>식료품 제조업</t>
        </is>
      </c>
      <c r="D88" s="68" t="inlineStr">
        <is>
          <t>떡, 빵 및 과자류 제조업</t>
        </is>
      </c>
      <c r="E88" s="68" t="inlineStr">
        <is>
          <t>떡류 제조업</t>
        </is>
      </c>
      <c r="F88" s="68" t="inlineStr">
        <is>
          <t>◦각종 떡류 및 유사 제품을 제조하는 산업활동을 말한다.
&lt;예 시&gt;
·떡류 제조
·약과 제조</t>
        </is>
      </c>
      <c r="G88" s="90" t="n">
        <v>91.90000000000001</v>
      </c>
      <c r="H88" s="90" t="n">
        <v>0</v>
      </c>
      <c r="I88" s="90" t="n">
        <v>11.5</v>
      </c>
    </row>
    <row r="89" ht="17.25" customHeight="1" s="66">
      <c r="A89" s="65" t="inlineStr">
        <is>
          <t>154102</t>
        </is>
      </c>
      <c r="B89" s="68" t="inlineStr">
        <is>
          <t>제조업</t>
        </is>
      </c>
      <c r="C89" s="68" t="inlineStr">
        <is>
          <t>식료품 제조업</t>
        </is>
      </c>
      <c r="D89" s="68" t="inlineStr">
        <is>
          <t>떡, 빵 및 과자류 제조업</t>
        </is>
      </c>
      <c r="E89" s="68" t="inlineStr">
        <is>
          <t>과자류 및 코코아 제품 제조업</t>
        </is>
      </c>
      <c r="F89" s="68" t="inlineStr">
        <is>
          <t>◦곡물 분말 등을 주원료로 하는 비스킷, 크래커, 와플 및 웨이퍼, 의약용 또는 식용 캡슐(젤라틴 캡슐 제외), 라이스 페이퍼 및 유사 식품을 제조하거나 코코아를 가공 처리하여 코코아 분 및 코코아 제품, 초콜릿 또는 코코아를 함유한 조제 식료품, 추잉 껌, 설탕과자 및 설탕으로 저장처리한 과일, 견과류 등을 제조하는 산업활동을 말한다.
&lt;예 시&gt;
·건빵 제조
·쌀과자 제조
·전분제 빈 캡슐 제조   
·튀김과자 제조
·코코아 버터 제조
·코코아 분말 제조   
·캐러멜과자 제조
·초콜릿 및 초콜릿과자 제조
·설탕 절임 과실 및 견과 제조
·코코아 유지 제조
&lt;제 외&gt;
·젤라틴 빈 캡슐 제조(242901)</t>
        </is>
      </c>
      <c r="G89" s="90" t="n">
        <v>90.2</v>
      </c>
      <c r="H89" s="90" t="n">
        <v>0</v>
      </c>
      <c r="I89" s="90" t="n">
        <v>11</v>
      </c>
    </row>
    <row r="90" ht="17.25" customHeight="1" s="66">
      <c r="A90" s="65" t="inlineStr">
        <is>
          <t>154103</t>
        </is>
      </c>
      <c r="B90" s="68" t="inlineStr">
        <is>
          <t>제조업</t>
        </is>
      </c>
      <c r="C90" s="68" t="inlineStr">
        <is>
          <t>식료품 제조업</t>
        </is>
      </c>
      <c r="D90" s="68" t="inlineStr">
        <is>
          <t>도시락 및 식사용 조리식품 제조업</t>
        </is>
      </c>
      <c r="E90" s="68" t="inlineStr">
        <is>
          <t>기타 식사용 가공처리 조리식품 제조업</t>
        </is>
      </c>
      <c r="F90" s="68" t="inlineStr">
        <is>
          <t>◦도시락류 등 식사용 조리식품을 제외한 기타 식사용 가공처리 조리식품(반조리식품 포함)을 제조하는 산업활동을 말한다. 이들 기타 식사용 조리ㆍ반조리 식품은 양념 이외에 두 가지 이상의 명확하게 구분되는 재료가 포함되어야 한다. 냉동 포장하거나, 통조림 및 레토르트 용기 등으로 가공 처리한 기타 식사용 조리식품(반조리식품 포함)을 제조하는 산업활동을 포함한다.
&lt;예 시&gt;
·식사용 냉동 포장식품 제조
·레토르트 식품 제조     
·식사용 음식 통조림 제조
·냉동 피자·만두·찐빵 제조
&lt;제 외&gt;
·단일 재료를 조리하여 통조림, 레토르트 등으로 가공처리한 경우는 주된 재료에 따라 구분(151102, 151105, 151201등)
·곡분 등 분말로 만든 균질화 식품 제조(154907)
·접객시설을 갖춘 구내식당을 운영하거나(552109) 특정 행사장 단위로 공급하는 연회 급식 서비스(552105)
·직접 조리한 도시락 및 김밥을 최종소비자에게 소매하는 경우(552108, 552123)</t>
        </is>
      </c>
      <c r="G90" s="90" t="n">
        <v>91.90000000000001</v>
      </c>
      <c r="H90" s="90" t="n">
        <v>0</v>
      </c>
      <c r="I90" s="90" t="n">
        <v>9</v>
      </c>
    </row>
    <row r="91" ht="17.25" customHeight="1" s="66">
      <c r="A91" s="65" t="inlineStr">
        <is>
          <t>154104</t>
        </is>
      </c>
      <c r="B91" s="68" t="inlineStr">
        <is>
          <t>제조업</t>
        </is>
      </c>
      <c r="C91" s="68" t="inlineStr">
        <is>
          <t>식료품 제조업</t>
        </is>
      </c>
      <c r="D91" s="68" t="inlineStr">
        <is>
          <t>떡, 빵 및 과자류 제조업</t>
        </is>
      </c>
      <c r="E91" s="68" t="inlineStr">
        <is>
          <t>빵류 제조업</t>
        </is>
      </c>
      <c r="F91" s="68" t="inlineStr">
        <is>
          <t>◦신선․냉동된 빵을 제조하는 산업활동을 말한다.
&lt;예 시&gt;
·케이크 제조
·파이 제조
·생과자 제조
·베이커리제품 제조(신선, 냉동)
·기타 생과자류 제조
·식빵 제조
&lt;제 외&gt;
·즉석식 빵을 생산하여 최종 소비자에게 판매(552301)
·제빵 또는 제과용 혼합 조제분말 및 반죽 제조(153106)</t>
        </is>
      </c>
      <c r="G91" s="90" t="n">
        <v>90.2</v>
      </c>
      <c r="H91" s="90" t="n">
        <v>0</v>
      </c>
      <c r="I91" s="90" t="n">
        <v>13.8</v>
      </c>
    </row>
    <row r="92" ht="17.25" customHeight="1" s="66">
      <c r="A92" s="65" t="inlineStr">
        <is>
          <t>154200</t>
        </is>
      </c>
      <c r="B92" s="68" t="inlineStr">
        <is>
          <t>제조업</t>
        </is>
      </c>
      <c r="C92" s="68" t="inlineStr">
        <is>
          <t>식료품 제조업</t>
        </is>
      </c>
      <c r="D92" s="68" t="inlineStr">
        <is>
          <t>설탕 제조업</t>
        </is>
      </c>
      <c r="E92" s="68" t="inlineStr">
        <is>
          <t>설탕 제조업</t>
        </is>
      </c>
      <c r="F92" s="68" t="inlineStr">
        <is>
          <t>◦사탕수수 및 사탕무 등으로 원당 및 당즙(시럽)을 제조하거나 원당을 정제하여 정제당을 생산하는 산업활동을 말한다.
&lt;예 시&gt;
·사탕수수당 제조
·사탕무당 제조
·전화당 제조
·순수한 자당(고체) 제조
&lt;제 외&gt;
·캐러멜당 및 인조 감미료 제조(154501,154503,154509)    
·맥아당, 포도당 및 과당 생산(153202)</t>
        </is>
      </c>
      <c r="G92" s="90" t="n">
        <v>91.40000000000001</v>
      </c>
      <c r="H92" s="90" t="n">
        <v>0</v>
      </c>
      <c r="I92" s="90" t="n">
        <v>11.5</v>
      </c>
    </row>
    <row r="93" ht="17.25" customHeight="1" s="66">
      <c r="A93" s="65" t="inlineStr">
        <is>
          <t>154400</t>
        </is>
      </c>
      <c r="B93" s="68" t="inlineStr">
        <is>
          <t>제조업</t>
        </is>
      </c>
      <c r="C93" s="68" t="inlineStr">
        <is>
          <t>식료품 제조업</t>
        </is>
      </c>
      <c r="D93" s="68" t="inlineStr">
        <is>
          <t>면류, 마카로니 및 유사 식품 제조업</t>
        </is>
      </c>
      <c r="E93" s="68" t="inlineStr">
        <is>
          <t>면류, 마카로니 및 유사 식품 제조업</t>
        </is>
      </c>
      <c r="F93" s="68" t="inlineStr">
        <is>
          <t>◦곡물 분말 등으로 신선◦건조한 상태의 라면, 국수, 마카로니 및 유사 면류를 제조하는 산업활동을 말한다.
&lt;예 시&gt;
·메밀국수 제조
·스파게티 제조
·당면 제조
·인스턴트 면류 제조
·마카로니 제조
&lt;제 외&gt;
·면류 제조용 혼합분말 및 가루반죽을 제조하는 경우(153106)
·인스턴트 면류용 소스만 제조하는 경우(154501)</t>
        </is>
      </c>
      <c r="G93" s="90" t="n">
        <v>94.2</v>
      </c>
      <c r="H93" s="90" t="n">
        <v>0</v>
      </c>
      <c r="I93" s="90" t="n">
        <v>10</v>
      </c>
    </row>
    <row r="94" ht="17.25" customHeight="1" s="66">
      <c r="A94" s="65" t="inlineStr">
        <is>
          <t>154501</t>
        </is>
      </c>
      <c r="B94" s="68" t="inlineStr">
        <is>
          <t>제조업</t>
        </is>
      </c>
      <c r="C94" s="68" t="inlineStr">
        <is>
          <t>식료품 제조업</t>
        </is>
      </c>
      <c r="D94" s="68" t="inlineStr">
        <is>
          <t>조미료 및 식품 첨가물 제조업</t>
        </is>
      </c>
      <c r="E94" s="68" t="inlineStr">
        <is>
          <t>천연 및 혼합 조제 조미료 제조업</t>
        </is>
      </c>
      <c r="F94" s="68" t="inlineStr">
        <is>
          <t>◦고추, 후추, 겨자, 계피 등 천연 조미 및 향신용 재료를 분쇄 및 기타 가공처리하여 천연 조미제품을 생산하거나 천연◦정제 및 발효 조미료와 기타 향신료를 혼합◦조제하여 혼합 소스 및 양념, 김칫소 등의 혼합 조미료 및 조제 조미료를 제조하는 산업활동을 말한다.
&lt;예 시&gt;
·고추, 후추 및 계피가루 제조
·천연 향신재료 분 제조
·마요네즈 제조
·케첩 제조
·혼합양념 제조
·김칫소 제조       
·인스턴트 커리 제조
·조제한 겨자 제조
&lt;제 외&gt;
·조미료, 향신재료 이외의 기타 채소 건조·분쇄활동(151302)
·곡물을 주 재료로 한 빵속 제조(153106)</t>
        </is>
      </c>
      <c r="G94" s="90" t="n">
        <v>89.2</v>
      </c>
      <c r="H94" s="90" t="n">
        <v>0</v>
      </c>
      <c r="I94" s="90" t="n">
        <v>6.7</v>
      </c>
    </row>
    <row r="95" ht="17.25" customHeight="1" s="66">
      <c r="A95" s="65" t="inlineStr">
        <is>
          <t>154502</t>
        </is>
      </c>
      <c r="B95" s="68" t="inlineStr">
        <is>
          <t>제조업</t>
        </is>
      </c>
      <c r="C95" s="68" t="inlineStr">
        <is>
          <t>식료품 제조업</t>
        </is>
      </c>
      <c r="D95" s="68" t="inlineStr">
        <is>
          <t>조미료 및 식품 첨가물 제조업</t>
        </is>
      </c>
      <c r="E95" s="68" t="inlineStr">
        <is>
          <t>장류 제조업</t>
        </is>
      </c>
      <c r="F95" s="68" t="inlineStr">
        <is>
          <t>◦콩, 보리, 밀, 탈지 대두 등을 발효시켜 메주 및 각종 장류를 제조하는 산업활동을 말한다.
&lt;예 시&gt;
·간장 제조
·고추장 제조
·춘장 제조
·된장 및 청국장 제조</t>
        </is>
      </c>
      <c r="G95" s="90" t="n">
        <v>91.5</v>
      </c>
      <c r="H95" s="90" t="n">
        <v>0</v>
      </c>
      <c r="I95" s="90" t="n">
        <v>9.699999999999999</v>
      </c>
    </row>
    <row r="96" ht="17.25" customHeight="1" s="66">
      <c r="A96" s="65" t="inlineStr">
        <is>
          <t>154503</t>
        </is>
      </c>
      <c r="B96" s="68" t="inlineStr">
        <is>
          <t>제조업</t>
        </is>
      </c>
      <c r="C96" s="68" t="inlineStr">
        <is>
          <t>식료품 제조업</t>
        </is>
      </c>
      <c r="D96" s="68" t="inlineStr">
        <is>
          <t>조미료 및 식품 첨가물 제조업</t>
        </is>
      </c>
      <c r="E96" s="68" t="inlineStr">
        <is>
          <t>식초, 발효 및 화학 조미료 제조업</t>
        </is>
      </c>
      <c r="F96" s="68" t="inlineStr">
        <is>
          <t>◦정제, 발효, 화학적 합성 및 기타 유사한 방법으로 가공하여 식품용 보조재료 및 첨가제로 사용되는 식초, 아미노산 및 글루탐산 소다(MSG) 등을 제조하는 산업활동을 말한다.
&lt;예 시&gt;
·조미료(합성) 제조
·아미노산 제조(식품 첨가용)
·식초 대용품 제조
·글루탐산 소다 제조(식품용)
·맛소금 제조
&lt;제 외&gt;
·구입한 정제 및 발효 조미료를 다른 물질과 혼합하여 혼합 조미료 제조(154501)
·장류 제조(154502)
·정제 및 가공염 제조(242904)
·식품용의 죽염 및 구운 소금 제조(154509)</t>
        </is>
      </c>
      <c r="G96" s="90" t="n">
        <v>89.2</v>
      </c>
      <c r="H96" s="90" t="n">
        <v>0</v>
      </c>
      <c r="I96" s="90" t="n">
        <v>8.300000000000001</v>
      </c>
    </row>
    <row r="97" ht="17.25" customHeight="1" s="66">
      <c r="A97" s="65" t="inlineStr">
        <is>
          <t>154509</t>
        </is>
      </c>
      <c r="B97" s="68" t="inlineStr">
        <is>
          <t>제조업</t>
        </is>
      </c>
      <c r="C97" s="68" t="inlineStr">
        <is>
          <t>식료품 제조업</t>
        </is>
      </c>
      <c r="D97" s="68" t="inlineStr">
        <is>
          <t>조미료 및 식품 첨가물 제조업</t>
        </is>
      </c>
      <c r="E97" s="68" t="inlineStr">
        <is>
          <t>기타 식품 첨가물 제조업</t>
        </is>
      </c>
      <c r="F97" s="68" t="inlineStr">
        <is>
          <t>◦기타 조미료 및 식품 첨가물을 제조하는 산업활동을 말하며, 양조용 또는 제빵용 첨가물 및 효모를 제조하거나 색소용 식품, 식품 향미료, 고기 유연제 등의 식품 첨가물을 생산하는 산업활동을 포함한다. 천일염 또는 정제염(기계염)을 구입하여 식탁용으로 특별히 가공하는 경우도 포함한다.
&lt;예 시&gt;
·누룩 및 종국 제조
·효모(이스트) 제조(활성, 불활성)
·조제 베이킹파우더 제조
·인조꿀 제조
·커피크리머 제조
·캐러멜당 제조
·감미용 조제품 제조
·단세포 미생물(박테리아, 단세포 조류 등) 제조(죽은 것)
·죽염 제조
·구운 소금 제조(식품용)
·재제염(꽃소금)
&lt;제 외&gt;
·이눌린 및 물엿 제조(153202)
·정제염(기계염) 제조(242904)
·소금과 화학 조미료를 혼합한 제품(맛소금 등) 제조(154503)</t>
        </is>
      </c>
      <c r="G97" s="90" t="n">
        <v>93.7</v>
      </c>
      <c r="H97" s="90" t="n">
        <v>0</v>
      </c>
      <c r="I97" s="90" t="n">
        <v>8.699999999999999</v>
      </c>
    </row>
    <row r="98" ht="17.25" customHeight="1" s="66">
      <c r="A98" s="65" t="inlineStr">
        <is>
          <t>154801</t>
        </is>
      </c>
      <c r="B98" s="68" t="inlineStr">
        <is>
          <t>제조업</t>
        </is>
      </c>
      <c r="C98" s="68" t="inlineStr">
        <is>
          <t>식료품 제조업</t>
        </is>
      </c>
      <c r="D98" s="68" t="inlineStr">
        <is>
          <t>곡물 가공품 제조업</t>
        </is>
      </c>
      <c r="E98" s="68" t="inlineStr">
        <is>
          <t>곡물 도정업</t>
        </is>
      </c>
      <c r="F98" s="68" t="inlineStr">
        <is>
          <t>◦수수료 또는 계약에 의하여 벼, 밀, 보리 등의 곡물 도정 (정부미도정 포함)</t>
        </is>
      </c>
      <c r="G98" s="90" t="n">
        <v>91.2</v>
      </c>
      <c r="H98" s="90" t="n">
        <v>0</v>
      </c>
      <c r="I98" s="90" t="n">
        <v>11.5</v>
      </c>
    </row>
    <row r="99" ht="17.25" customHeight="1" s="66">
      <c r="A99" s="65" t="inlineStr">
        <is>
          <t>154802</t>
        </is>
      </c>
      <c r="B99" s="68" t="inlineStr">
        <is>
          <t>제조업</t>
        </is>
      </c>
      <c r="C99" s="68" t="inlineStr">
        <is>
          <t>식료품 제조업</t>
        </is>
      </c>
      <c r="D99" s="68" t="inlineStr">
        <is>
          <t>곡물 가공품 제조업</t>
        </is>
      </c>
      <c r="E99" s="68" t="inlineStr">
        <is>
          <t>곡물 제분업</t>
        </is>
      </c>
      <c r="F99" s="68" t="inlineStr">
        <is>
          <t>◦떡방앗간</t>
        </is>
      </c>
      <c r="G99" s="90" t="n">
        <v>92.7</v>
      </c>
      <c r="H99" s="90" t="n">
        <v>0</v>
      </c>
      <c r="I99" s="90" t="n">
        <v>9.6</v>
      </c>
    </row>
    <row r="100" ht="17.25" customHeight="1" s="66">
      <c r="A100" s="65" t="inlineStr">
        <is>
          <t>154803</t>
        </is>
      </c>
      <c r="B100" s="68" t="inlineStr">
        <is>
          <t>제조업</t>
        </is>
      </c>
      <c r="C100" s="68" t="inlineStr">
        <is>
          <t>식료품 제조업</t>
        </is>
      </c>
      <c r="D100" s="68" t="inlineStr">
        <is>
          <t>도축업</t>
        </is>
      </c>
      <c r="E100" s="68" t="inlineStr">
        <is>
          <t>육류 도축업(가금류 제외), 가금류 도축업</t>
        </is>
      </c>
      <c r="F100" s="68" t="inlineStr">
        <is>
          <t>◦임가공 도축업
&lt;예 시&gt;
·소, 돼지 및 육지 동물 도축               ·닭, 오리 등 가금 도축</t>
        </is>
      </c>
      <c r="G100" s="90" t="n">
        <v>92.3</v>
      </c>
      <c r="H100" s="90" t="n">
        <v>0</v>
      </c>
      <c r="I100" s="90" t="n">
        <v>2.8</v>
      </c>
    </row>
    <row r="101" ht="17.25" customHeight="1" s="66">
      <c r="A101" s="65" t="inlineStr">
        <is>
          <t>154804</t>
        </is>
      </c>
      <c r="B101" s="68" t="inlineStr">
        <is>
          <t>제조업</t>
        </is>
      </c>
      <c r="C101" s="68" t="inlineStr">
        <is>
          <t>식료품 제조업</t>
        </is>
      </c>
      <c r="D101" s="68" t="inlineStr">
        <is>
          <t>육류 가공 및 저장 처리업, 수산동물 가공 및 저장 처리업, 과실 채소 가공 및 저장 처리업</t>
        </is>
      </c>
      <c r="E101" s="68" t="inlineStr">
        <is>
          <t>가금류 가공 및 저장 처리업, 육류 포장육 및 냉동육 가공업(가금류 제외), 수산동물 냉동품 제조업, 기타 과실ㆍ채소 가공 및 저장 처리업</t>
        </is>
      </c>
      <c r="F101" s="68" t="inlineStr">
        <is>
          <t>◦임가공 냉동업
&lt;예 시&gt;
·가금 고기 냉동 임가공                     ·육류 가공 냉동 임가공
·수산물 및 가공식품 냉동 임가공            ·과실 및 채소 냉동 임가공</t>
        </is>
      </c>
      <c r="G101" s="90" t="n">
        <v>93.09999999999999</v>
      </c>
      <c r="H101" s="90" t="n">
        <v>0</v>
      </c>
      <c r="I101" s="90" t="n">
        <v>6</v>
      </c>
    </row>
    <row r="102" ht="17.25" customHeight="1" s="66">
      <c r="A102" s="65" t="inlineStr">
        <is>
          <t>154805</t>
        </is>
      </c>
      <c r="B102" s="68" t="inlineStr">
        <is>
          <t>제조업</t>
        </is>
      </c>
      <c r="C102" s="68" t="inlineStr">
        <is>
          <t>식료품 제조업</t>
        </is>
      </c>
      <c r="D102" s="68" t="inlineStr">
        <is>
          <t>수산물 가공 및 저장 처리업, 과실,채소 가공 및 저장 처리업, 동식물성 유지 제조업, 곡물 가공업 제조업, 기타 식료품 제조업</t>
        </is>
      </c>
      <c r="E102" s="68" t="inlineStr">
        <is>
          <t>수산동물 건조 및 염장품 제조업, 수산식물 가공 및 저장 처리업, 기타 과실ㆍ채소 가공 및 저장 처리업, 동물성 유지 제조업, 식물성 유지 제조업, 기타 곡물 가공품 제조업, 건강 보조용 액화식품 제조업</t>
        </is>
      </c>
      <c r="F102" s="68" t="inlineStr">
        <is>
          <t>◦임가공
&lt;예 시&gt;
·수산동물 염장 건조 임가공                  ·해조류 건조품 임가공
·과실 및 채소 건조식품 임가공        ·동식물성 유지 원료의 착유 임가공
·튀김 곡물 임가공                    
·한약 및 건강식품 액화처리 임가공</t>
        </is>
      </c>
      <c r="G102" s="90" t="n">
        <v>92</v>
      </c>
      <c r="H102" s="90" t="n">
        <v>0</v>
      </c>
      <c r="I102" s="90" t="n">
        <v>4.4</v>
      </c>
    </row>
    <row r="103" ht="17.25" customHeight="1" s="66">
      <c r="A103" s="65" t="inlineStr">
        <is>
          <t>154806</t>
        </is>
      </c>
      <c r="B103" s="68" t="inlineStr">
        <is>
          <t>제조업</t>
        </is>
      </c>
      <c r="C103" s="68" t="inlineStr">
        <is>
          <t>식료품 제조업</t>
        </is>
      </c>
      <c r="D103" s="68" t="inlineStr">
        <is>
          <t>곡물 가공품 제조업</t>
        </is>
      </c>
      <c r="E103" s="68" t="inlineStr">
        <is>
          <t>곡물 제분업</t>
        </is>
      </c>
      <c r="F103" s="68" t="inlineStr">
        <is>
          <t>◦수수료 또는 계약에 의하여 벼, 밀, 보리 등의 곡물 제분업(정부미 임가공업 포함)</t>
        </is>
      </c>
      <c r="G103" s="90" t="n">
        <v>91.2</v>
      </c>
      <c r="H103" s="90" t="n">
        <v>0</v>
      </c>
      <c r="I103" s="90" t="n">
        <v>6.8</v>
      </c>
    </row>
    <row r="104" ht="17.25" customHeight="1" s="66">
      <c r="A104" s="65" t="inlineStr">
        <is>
          <t>154901</t>
        </is>
      </c>
      <c r="B104" s="68" t="inlineStr">
        <is>
          <t>제조업</t>
        </is>
      </c>
      <c r="C104" s="68" t="inlineStr">
        <is>
          <t>식료품 제조업</t>
        </is>
      </c>
      <c r="D104" s="68" t="inlineStr">
        <is>
          <t>기타 식료품 제조업</t>
        </is>
      </c>
      <c r="E104" s="68" t="inlineStr">
        <is>
          <t>커피 가공업</t>
        </is>
      </c>
      <c r="F104" s="68" t="inlineStr">
        <is>
          <t>◦커피 가공품, 커피를 함유하는 커피 대용품 및 농축물 생산과 이들을 재료로 하는 조제식품을 제조하는 산업활동을 말한다.
&lt;예 시&gt;
·볶은 커피 생산
·카페인 제거 커피 생산
·커피 농축물 생산
·커피 대용품 제조(커피 함유한 것)
·커피 조제품 제조
&lt;제 외&gt;
·캔커피(음료) 제조(155402)
·볶은 곡물·치커리 등으로 만든 기타 대용차 제조(154905)</t>
        </is>
      </c>
      <c r="G104" s="90" t="n">
        <v>91.40000000000001</v>
      </c>
      <c r="H104" s="90" t="n">
        <v>0</v>
      </c>
      <c r="I104" s="90" t="n">
        <v>11</v>
      </c>
    </row>
    <row r="105" ht="17.25" customHeight="1" s="66">
      <c r="A105" s="65" t="inlineStr">
        <is>
          <t>154902</t>
        </is>
      </c>
      <c r="B105" s="68" t="inlineStr">
        <is>
          <t>제조업</t>
        </is>
      </c>
      <c r="C105" s="68" t="inlineStr">
        <is>
          <t>식료품 제조업</t>
        </is>
      </c>
      <c r="D105" s="68" t="inlineStr">
        <is>
          <t>기타 식료품 제조업</t>
        </is>
      </c>
      <c r="E105" s="68" t="inlineStr">
        <is>
          <t>두부 및 유사 식품 제조업</t>
        </is>
      </c>
      <c r="F105" s="68" t="inlineStr">
        <is>
          <t>◦콩, 메밀, 도토리 등을 원료로 두부, 유부, 묵 등을 생산하는 산업활동을 말한다.
&lt;예 시&gt;
·유부 제조
·묵 제조
·두부 제조
·순두부 제조
&lt;제 외&gt;
·생선 어묵 제조(151201)
·식용 한천 제조(154904)</t>
        </is>
      </c>
      <c r="G105" s="90" t="n">
        <v>94.09999999999999</v>
      </c>
      <c r="H105" s="90" t="n">
        <v>0</v>
      </c>
      <c r="I105" s="90" t="n">
        <v>8.1</v>
      </c>
    </row>
    <row r="106" ht="17.25" customHeight="1" s="66">
      <c r="A106" s="65" t="inlineStr">
        <is>
          <t>154903</t>
        </is>
      </c>
      <c r="B106" s="68" t="inlineStr">
        <is>
          <t>제조업</t>
        </is>
      </c>
      <c r="C106" s="68" t="inlineStr">
        <is>
          <t>식료품 제조업</t>
        </is>
      </c>
      <c r="D106" s="68" t="inlineStr">
        <is>
          <t>기타 식료품 제조업</t>
        </is>
      </c>
      <c r="E106" s="68" t="inlineStr">
        <is>
          <t>건강 보조용 액화식품 제조업</t>
        </is>
      </c>
      <c r="F106" s="68" t="inlineStr">
        <is>
          <t>◦육지 및 수산 동물고기 등에 한약재를 혼합하고 추출기에서 가열 및 농축하여 액화한 후 1회용으로 포장한 액화식품을 제조하는 산업활동을 말한다. 이러한 산업활동을 수행하는 사업체가 과실 및 채소를 동일한 방법으로 함께 가공하는 경우에도 이곳에 분류한다.
&lt;예 시&gt;
·육지 동물고기 혼합 추출물 엑스 제조
·수산 동물고기 혼합 추출물 엑스 제조     
·건강원
&lt;제 외&gt;
·과실 및 채소 원액 주스 제조(151302)
*한약 및 건강식품 액화처리 임가공(→154805)</t>
        </is>
      </c>
      <c r="G106" s="90" t="n">
        <v>89.3</v>
      </c>
      <c r="H106" s="90" t="n">
        <v>0</v>
      </c>
      <c r="I106" s="90" t="n">
        <v>11.6</v>
      </c>
    </row>
    <row r="107" ht="17.25" customHeight="1" s="66">
      <c r="A107" s="65" t="inlineStr">
        <is>
          <t>154904</t>
        </is>
      </c>
      <c r="B107" s="68" t="inlineStr">
        <is>
          <t>제조업</t>
        </is>
      </c>
      <c r="C107" s="68" t="inlineStr">
        <is>
          <t>식료품 제조업</t>
        </is>
      </c>
      <c r="D107" s="68" t="inlineStr">
        <is>
          <t>수산식물 가공 및 저장 처리업</t>
        </is>
      </c>
      <c r="E107" s="68" t="inlineStr">
        <is>
          <t>수산식물 가공 및 저장 처리업</t>
        </is>
      </c>
      <c r="F107" s="68" t="inlineStr">
        <is>
          <t>◦김, 미역, 다시마 등의 식용 해조류를 조제◦염장◦건조◦냉동 및 기타 가공처리하여 해조류 가공식품을 제조하는 산업활동을 말한다. 여기에는 식용 우뭇가사리(한천) 제조활동도 포함한다.
&lt;예 시&gt;
·해조류 건조품 제조
·조미 해조류 제조
·식용 우뭇가사리 제조
·해조류 염장품 제조
·조미 구운김 제조
·해조류 튀김제품 제조
&lt;제 외&gt;
·수산동물 가공품 제조(151200~151203)
*해조류 건조품 임가공(→154805)</t>
        </is>
      </c>
      <c r="G107" s="90" t="n">
        <v>94.40000000000001</v>
      </c>
      <c r="H107" s="90" t="n">
        <v>0</v>
      </c>
      <c r="I107" s="90" t="n">
        <v>4.4</v>
      </c>
    </row>
    <row r="108" ht="17.25" customHeight="1" s="66">
      <c r="A108" s="65" t="inlineStr">
        <is>
          <t>154905</t>
        </is>
      </c>
      <c r="B108" s="68" t="inlineStr">
        <is>
          <t>제조업</t>
        </is>
      </c>
      <c r="C108" s="68" t="inlineStr">
        <is>
          <t>식료품 제조업</t>
        </is>
      </c>
      <c r="D108" s="68" t="inlineStr">
        <is>
          <t>기타 식료품 제조업</t>
        </is>
      </c>
      <c r="E108" s="68" t="inlineStr">
        <is>
          <t>차류 가공업</t>
        </is>
      </c>
      <c r="F108" s="68" t="inlineStr">
        <is>
          <t>◦율무, 유자, 꽃잎, 곡물 등으로 각종 차류를 제조하는 산업활동을 말하며, 음료로 가공된 차제품은 제외한다.
&lt;예 시&gt;
·홍차(발효차) 제조
·차 농축물 및 추출물 제조
·차류 조제품 제조
·대용차류 제조
·볶은 치커리차 제조
·둥글레차 제조
&lt;제 외&gt;
·인삼차 제조(154906)
·캔음료(녹차, 홍차 등) 제조(155402)</t>
        </is>
      </c>
      <c r="G108" s="90" t="n">
        <v>91.40000000000001</v>
      </c>
      <c r="H108" s="90" t="n">
        <v>0</v>
      </c>
      <c r="I108" s="90" t="n">
        <v>7.8</v>
      </c>
    </row>
    <row r="109" ht="17.25" customHeight="1" s="66">
      <c r="A109" s="65" t="inlineStr">
        <is>
          <t>154906</t>
        </is>
      </c>
      <c r="B109" s="68" t="inlineStr">
        <is>
          <t>제조업</t>
        </is>
      </c>
      <c r="C109" s="68" t="inlineStr">
        <is>
          <t>식료품 제조업</t>
        </is>
      </c>
      <c r="D109" s="68" t="inlineStr">
        <is>
          <t>기타 식료품 제조업</t>
        </is>
      </c>
      <c r="E109" s="68" t="inlineStr">
        <is>
          <t>인삼식품 제조업</t>
        </is>
      </c>
      <c r="F109" s="68" t="inlineStr">
        <is>
          <t>◦인삼 가공품 또는 인삼 성분을 주재료로 각종 인삼 조제식품을 제조하는 산업활동을 말한다.
&lt;예 시&gt;
·인삼 분말 제조
·인삼차 제조
·인삼 즙 및 주스 제조
·홍삼차 제조
&lt;제 외&gt;
·인삼주 제조(155103)
·캔 인삼음료 제조(155402)
·약제용으로 특별히 조제된 인삼 약제품 또는 인삼에서 추출한 특정성분 제조(242303)</t>
        </is>
      </c>
      <c r="G109" s="90" t="n">
        <v>91.40000000000001</v>
      </c>
      <c r="H109" s="90" t="n">
        <v>0</v>
      </c>
      <c r="I109" s="90" t="n">
        <v>11.3</v>
      </c>
    </row>
    <row r="110" ht="17.25" customHeight="1" s="66">
      <c r="A110" s="65" t="inlineStr">
        <is>
          <t>154907</t>
        </is>
      </c>
      <c r="B110" s="68" t="inlineStr">
        <is>
          <t>제조업</t>
        </is>
      </c>
      <c r="C110" s="68" t="inlineStr">
        <is>
          <t>식료품 제조업</t>
        </is>
      </c>
      <c r="D110" s="68" t="inlineStr">
        <is>
          <t>기타 식료품 제조업</t>
        </is>
      </c>
      <c r="E110" s="68" t="inlineStr">
        <is>
          <t>수프 및 균질화식품 제조업</t>
        </is>
      </c>
      <c r="F110" s="68" t="inlineStr">
        <is>
          <t>◦육류, 어류, 과실 또는 채소 등의 기본재료를 두 가지 이상 혼합하여 균질화한 조제 수프 및 균질화 식품을 제조하는 산업활동을 말한다. 이러한 제품은 주성분 외에 우유, 맥아 추출물 등의 각종 보조적인 물질이 첨가될 수 있다. 또한 이들은 액체, 분말, 입상, 말랑말랑한 덩어리, 스트립 및 디스크 등의 형상으로서 단순히 우유 또는 물에 혼합하거나 가열하여 음료, 유아식용, 식이요법용 등으로 사용된다. 육지 및 수산동물의 농축액과 추출물의 생산활동도 여기에 포함한다.
&lt;예 시&gt;
·조제 수프 제조
·맥아 농축액 및 추출물 제조
&lt;제 외&gt;
·유아용 조제분유 제조(152001)
·베이커리제품 제조용 혼합물 및 반죽 제조(153106)
·동물고기와 한약재를 혼합·가열하여 건강보조용 액화식품(1회용으로 포장된) 제조(154903)</t>
        </is>
      </c>
      <c r="G110" s="90" t="n">
        <v>94.09999999999999</v>
      </c>
      <c r="H110" s="90" t="n">
        <v>0</v>
      </c>
      <c r="I110" s="90" t="n">
        <v>6.9</v>
      </c>
    </row>
    <row r="111" ht="17.25" customHeight="1" s="66">
      <c r="A111" s="65" t="inlineStr">
        <is>
          <t>154908</t>
        </is>
      </c>
      <c r="B111" s="68" t="inlineStr">
        <is>
          <t>제조업</t>
        </is>
      </c>
      <c r="C111" s="68" t="inlineStr">
        <is>
          <t>식료품 제조업</t>
        </is>
      </c>
      <c r="D111" s="68" t="inlineStr">
        <is>
          <t>기타 식료품 제조업</t>
        </is>
      </c>
      <c r="E111" s="68" t="inlineStr">
        <is>
          <t>건강 기능식품 제조업</t>
        </is>
      </c>
      <c r="F111" s="68" t="inlineStr">
        <is>
          <t>◦동물성, 식물성, 광물성 등의 각종 물질에서 추출한 기능성 원료에 비타민류, 철화합물 등을 첨가하여 만든 건강 유지 또는 건강 증진용 조제 가공식품을 제조하는 산업활동을 말한다. 의약용 물질이나 다른 산업에서 분류되는 식품을 제조하는 산업활동은 제외된다.
&lt;예 시&gt;
·스쿠알렌 제조
·키토산 제조
·로열젤리 가공품 제조     
·효모, 효소 추출 가공품 제조
·화분 가공품 제조    
·인삼, 홍삼, 엽록소, 클로렐라 함유 가공식품 제조
·농축 미네랄 제조
·알로에 가공품 제조
·식이섬유 가공식품 제조     
·오메가-3, 레시틴, 스쿠알렌(상어간유) 등 지방산 가공식품 제조
·글루코사민, 영지버섯 자실체 추출물, 키토산, 키토올리고당 등 당 및 탄수화물류 가공식품 제조
·발효 미생물류 가공식품 제조
·아미노산 및 단백질류 가공식품 제조
&lt;제 외&gt;
·건강원에서 제조한 1회용 액화식품(154903)</t>
        </is>
      </c>
      <c r="G111" s="90" t="n">
        <v>89.3</v>
      </c>
      <c r="H111" s="90" t="n">
        <v>0</v>
      </c>
      <c r="I111" s="90" t="n">
        <v>11.7</v>
      </c>
    </row>
    <row r="112" ht="17.25" customHeight="1" s="66">
      <c r="A112" s="65" t="inlineStr">
        <is>
          <t>154909</t>
        </is>
      </c>
      <c r="B112" s="68" t="inlineStr">
        <is>
          <t>제조업</t>
        </is>
      </c>
      <c r="C112" s="68" t="inlineStr">
        <is>
          <t>식료품 제조업</t>
        </is>
      </c>
      <c r="D112" s="68" t="inlineStr">
        <is>
          <t>기타 식료품 제조업</t>
        </is>
      </c>
      <c r="E112" s="68" t="inlineStr">
        <is>
          <t>그 외 기타 식료품 제조업</t>
        </is>
      </c>
      <c r="F112" s="68" t="inlineStr">
        <is>
          <t>◦그 외 기타 식료품을 제조하는 산업활동을 말한다.
&lt;예 시&gt;
·조란 껍질 제거제품 생산
·새알 가공품 제조</t>
        </is>
      </c>
      <c r="G112" s="90" t="n">
        <v>91.40000000000001</v>
      </c>
      <c r="H112" s="90" t="n">
        <v>0</v>
      </c>
      <c r="I112" s="90" t="n">
        <v>8.4</v>
      </c>
    </row>
    <row r="113" ht="17.25" customHeight="1" s="66">
      <c r="A113" s="65" t="inlineStr">
        <is>
          <t>155101</t>
        </is>
      </c>
      <c r="B113" s="68" t="inlineStr">
        <is>
          <t>제조업</t>
        </is>
      </c>
      <c r="C113" s="68" t="inlineStr">
        <is>
          <t>음료 제조업</t>
        </is>
      </c>
      <c r="D113" s="68" t="inlineStr">
        <is>
          <t>증류주 및 합성주 제조업</t>
        </is>
      </c>
      <c r="E113" s="68" t="inlineStr">
        <is>
          <t>주정 제조업</t>
        </is>
      </c>
      <c r="F113" s="68" t="inlineStr">
        <is>
          <t>◦고구마, 감자 등 전분 또는 당분을 함유하는 원료를 발효 및 증류시켜 비변성 에틸알코올 및 중성 주정을 생산하는 산업활동을 말한다.(주세법 제4조제2항 준용)
&lt;예 시&gt;
·비변성 에틸알코올 제조
·발효주정, 조주정, 정제주정 제조
&lt;제 외&gt;
·합성주정, 무수주정(241106)</t>
        </is>
      </c>
      <c r="G113" s="90" t="n">
        <v>83.90000000000001</v>
      </c>
      <c r="H113" s="90" t="n">
        <v>0</v>
      </c>
      <c r="I113" s="90" t="n">
        <v>17.8</v>
      </c>
    </row>
    <row r="114" ht="17.25" customHeight="1" s="66">
      <c r="A114" s="65" t="inlineStr">
        <is>
          <t>155102</t>
        </is>
      </c>
      <c r="B114" s="68" t="inlineStr">
        <is>
          <t>제조업</t>
        </is>
      </c>
      <c r="C114" s="68" t="inlineStr">
        <is>
          <t>음료 제조업</t>
        </is>
      </c>
      <c r="D114" s="68" t="inlineStr">
        <is>
          <t>증류주 및 합성주 제조업</t>
        </is>
      </c>
      <c r="E114" s="68" t="inlineStr">
        <is>
          <t>소주 제조업</t>
        </is>
      </c>
      <c r="F114" s="68" t="inlineStr">
        <is>
          <t>◦증류소주, 희석소주 또는 혼합소주를 제조하는 산업활동을 말한다.(주세법 제4조제2항 준용)
&lt;예 시&gt;
·소주 제조(희석, 혼합)
·합성 증류소주 제조
&lt;제 외&gt;
·소주 이외의 곡물을 주성분으로 증류주(고량주 등) 제조(155103)</t>
        </is>
      </c>
      <c r="G114" s="90" t="n">
        <v>90.90000000000001</v>
      </c>
      <c r="H114" s="90" t="n">
        <v>0</v>
      </c>
      <c r="I114" s="90" t="n">
        <v>17</v>
      </c>
    </row>
    <row r="115" ht="17.25" customHeight="1" s="66">
      <c r="A115" s="65" t="inlineStr">
        <is>
          <t>155103</t>
        </is>
      </c>
      <c r="B115" s="68" t="inlineStr">
        <is>
          <t>제조업</t>
        </is>
      </c>
      <c r="C115" s="68" t="inlineStr">
        <is>
          <t>음료 제조업</t>
        </is>
      </c>
      <c r="D115" s="68" t="inlineStr">
        <is>
          <t>증류주 및 합성주 제조업</t>
        </is>
      </c>
      <c r="E115" s="68" t="inlineStr">
        <is>
          <t>기타 증류주 및 합성주 제조업</t>
        </is>
      </c>
      <c r="F115" s="68" t="inlineStr">
        <is>
          <t>◦직접 발효시키거나 구입한 발효주를 증류하여 직접 마실 수 있는 상태의 각종 증류주(주정 및 소주 제외)를 제조하는 산업활동 및 증류주에 다른 물질을 주입하거나 혼합하여 조제 증류주 및 합성 증류주를 제조하는 산업활동을 말한다.(주세법 제4조제2항 준용)
&lt;예 시&gt;
·위스키 제조
·진 제조
·꼬낙 제조
·브랜디 제조     
·럼 제조
·고량주 제조
·타피아 제조
·보드카 제조     
·오가피주 제조
·가향 조제주 제조
&lt;제 외&gt;
·희석 또는 혼합 소주 및 증류소주 제조(155102)</t>
        </is>
      </c>
      <c r="G115" s="90" t="n">
        <v>91.40000000000001</v>
      </c>
      <c r="H115" s="90" t="n">
        <v>0</v>
      </c>
      <c r="I115" s="90" t="n">
        <v>18.1</v>
      </c>
    </row>
    <row r="116" ht="17.25" customHeight="1" s="66">
      <c r="A116" s="65" t="inlineStr">
        <is>
          <t>155201</t>
        </is>
      </c>
      <c r="B116" s="68" t="inlineStr">
        <is>
          <t>제조업</t>
        </is>
      </c>
      <c r="C116" s="68" t="inlineStr">
        <is>
          <t>음료 제조업</t>
        </is>
      </c>
      <c r="D116" s="68" t="inlineStr">
        <is>
          <t>발효주 제조업</t>
        </is>
      </c>
      <c r="E116" s="68" t="inlineStr">
        <is>
          <t>탁주 및 약주 제조업</t>
        </is>
      </c>
      <c r="F116" s="68" t="inlineStr">
        <is>
          <t>◦쌀, 보리, 밀 등 곡식을 발효하여 탁주를 제조하는 산업활동을 말한다.(주세법 제4조제2항 준용)</t>
        </is>
      </c>
      <c r="G116" s="90" t="n">
        <v>81.59999999999999</v>
      </c>
      <c r="H116" s="90" t="n">
        <v>0</v>
      </c>
      <c r="I116" s="90" t="n">
        <v>15.1</v>
      </c>
    </row>
    <row r="117" ht="17.25" customHeight="1" s="66">
      <c r="A117" s="65" t="inlineStr">
        <is>
          <t>155202</t>
        </is>
      </c>
      <c r="B117" s="68" t="inlineStr">
        <is>
          <t>제조업</t>
        </is>
      </c>
      <c r="C117" s="68" t="inlineStr">
        <is>
          <t>음료 제조업</t>
        </is>
      </c>
      <c r="D117" s="68" t="inlineStr">
        <is>
          <t>발효주 제조업</t>
        </is>
      </c>
      <c r="E117" s="68" t="inlineStr">
        <is>
          <t>탁주 및 약주 제조업</t>
        </is>
      </c>
      <c r="F117" s="68" t="inlineStr">
        <is>
          <t>◦쌀, 보리, 밀 등 곡식을 발효하여 약주를 제조하는 산업활동을 말한다.(주세법 제4조제2항 준용)
&lt;예 시&gt;
·민속주(약주) 제조
·청명주 제조</t>
        </is>
      </c>
      <c r="G117" s="90" t="n">
        <v>89.09999999999999</v>
      </c>
      <c r="H117" s="90" t="n">
        <v>0</v>
      </c>
      <c r="I117" s="90" t="n">
        <v>16.2</v>
      </c>
    </row>
    <row r="118" ht="17.25" customHeight="1" s="66">
      <c r="A118" s="65" t="inlineStr">
        <is>
          <t>155203</t>
        </is>
      </c>
      <c r="B118" s="68" t="inlineStr">
        <is>
          <t>제조업</t>
        </is>
      </c>
      <c r="C118" s="68" t="inlineStr">
        <is>
          <t>음료 제조업</t>
        </is>
      </c>
      <c r="D118" s="68" t="inlineStr">
        <is>
          <t>발효주 제조업</t>
        </is>
      </c>
      <c r="E118" s="68" t="inlineStr">
        <is>
          <t>기타 발효주 제조업</t>
        </is>
      </c>
      <c r="F118" s="68" t="inlineStr">
        <is>
          <t>◦과실 및 기타 식물성 물질을 발효시켜 기타의 발효주를 제조하는 산업활동을 말한다.(주세법 제4조제2항 준용)
&lt;예 시&gt;
·포도주 제조
·과실 발효주 제조
·유자 발효주 제조
·생강 발효주 제조
·채소 발효주 제조
·청주 제조
&lt;제 외&gt;
·구입한 주정 또는 증류주에 과실 및 기타 식물성 물질을 첨가하여 조제 증류주 제조(155103)</t>
        </is>
      </c>
      <c r="G118" s="90" t="n">
        <v>88.40000000000001</v>
      </c>
      <c r="H118" s="90" t="n">
        <v>0</v>
      </c>
      <c r="I118" s="90" t="n">
        <v>17.2</v>
      </c>
    </row>
    <row r="119" ht="17.25" customHeight="1" s="66">
      <c r="A119" s="65" t="inlineStr">
        <is>
          <t>155300</t>
        </is>
      </c>
      <c r="B119" s="68" t="inlineStr">
        <is>
          <t>제조업</t>
        </is>
      </c>
      <c r="C119" s="68" t="inlineStr">
        <is>
          <t>음료 제조업</t>
        </is>
      </c>
      <c r="D119" s="68" t="inlineStr">
        <is>
          <t>발효주 제조업</t>
        </is>
      </c>
      <c r="E119" s="68" t="inlineStr">
        <is>
          <t>맥아 및 맥주 제조업</t>
        </is>
      </c>
      <c r="F119" s="68" t="inlineStr">
        <is>
          <t>◦보리, 밀, 맥아밀 등을 발아 및 건조시켜 맥아 및 맥아분을 생산하거나 맥아를 원료로 맥주(주세법 제4조제2항 준용)를 제조하는 산업활동을 말한다.
&lt;예 시&gt;
·맥아 제조
·맥아분 제조
·맥주 제조
·합성 맥주 제조
&lt;제 외&gt;
·맥아 엑스 및 그 조제식품 제조(154907)
·차류 대용품으로 볶은 맥아 생산(154905)</t>
        </is>
      </c>
      <c r="G119" s="90" t="n">
        <v>85.3</v>
      </c>
      <c r="H119" s="90" t="n">
        <v>0</v>
      </c>
      <c r="I119" s="90" t="n">
        <v>18.1</v>
      </c>
    </row>
    <row r="120" ht="17.25" customHeight="1" s="66">
      <c r="A120" s="65" t="inlineStr">
        <is>
          <t>155401</t>
        </is>
      </c>
      <c r="B120" s="68" t="inlineStr">
        <is>
          <t>제조업</t>
        </is>
      </c>
      <c r="C120" s="68" t="inlineStr">
        <is>
          <t>음료 제조업</t>
        </is>
      </c>
      <c r="D120" s="68" t="inlineStr">
        <is>
          <t>비알코올 음료 및 얼음 제조업</t>
        </is>
      </c>
      <c r="E120" s="68" t="inlineStr">
        <is>
          <t>기타 비알코올 음료 제조업</t>
        </is>
      </c>
      <c r="F120" s="68" t="inlineStr">
        <is>
          <t>◦탄산음료
&lt;예 시&gt;
·사이다, 콜라, 천연광천수 및 천연수, 콜라원액, 기타음료용원액, 탄산수 등</t>
        </is>
      </c>
      <c r="G120" s="90" t="n">
        <v>85.7</v>
      </c>
      <c r="H120" s="90" t="n">
        <v>0</v>
      </c>
      <c r="I120" s="90" t="n">
        <v>14.4</v>
      </c>
    </row>
    <row r="121" ht="17.25" customHeight="1" s="66">
      <c r="A121" s="65" t="inlineStr">
        <is>
          <t>155402</t>
        </is>
      </c>
      <c r="B121" s="68" t="inlineStr">
        <is>
          <t>제조업</t>
        </is>
      </c>
      <c r="C121" s="68" t="inlineStr">
        <is>
          <t>음료 제조업</t>
        </is>
      </c>
      <c r="D121" s="68" t="inlineStr">
        <is>
          <t>비알코올 음료 및 얼음 제조업</t>
        </is>
      </c>
      <c r="E121" s="68" t="inlineStr">
        <is>
          <t>기타 비알코올 음료 제조업</t>
        </is>
      </c>
      <c r="F121" s="68" t="inlineStr">
        <is>
          <t>◦물에 설탕, 감미료 또는 향미료를 첨가한 음료를 생산하거나, 과실주스, 과실 추출물 또는 기타 합성 추출물을 첨가하여 청량음료 또는 기타 비알코올성 음료를 제조하는 산업활동을 말한다. 이들 제품에는 우유, 구연산 등의 첨가 여부를 불문한다.
&lt;예 시&gt;
·강장음료 제조
·곡물음료 제조
·가당음료 생산
·인삼드링크 제조
·캔커피(음료) 제조
·캔차류 제조
&lt;제 외&gt;
·수수료 또는 계약에 의거 음료를 단순히 포장하는 활동(749500)
·천연 생수를 생산·포장하는 산업활동(155403)
*탄산음료(→155401)</t>
        </is>
      </c>
      <c r="G121" s="90" t="n">
        <v>89.2</v>
      </c>
      <c r="H121" s="90" t="n">
        <v>0</v>
      </c>
      <c r="I121" s="90" t="n">
        <v>9.4</v>
      </c>
    </row>
    <row r="122" ht="17.25" customHeight="1" s="66">
      <c r="A122" s="65" t="inlineStr">
        <is>
          <t>155403</t>
        </is>
      </c>
      <c r="B122" s="68" t="inlineStr">
        <is>
          <t>제조업</t>
        </is>
      </c>
      <c r="C122" s="68" t="inlineStr">
        <is>
          <t>음료 제조업</t>
        </is>
      </c>
      <c r="D122" s="68" t="inlineStr">
        <is>
          <t>비알코올 음료 및 얼음 제조업</t>
        </is>
      </c>
      <c r="E122" s="68" t="inlineStr">
        <is>
          <t>생수 생산업</t>
        </is>
      </c>
      <c r="F122" s="68" t="inlineStr">
        <is>
          <t>◦천연 생수를 생산하여 병 또는 기타 포장용기에 포장하는 산업활동을 말한다.
&lt;예 시&gt;
·천연 생수 생산(용기 포장)
&lt;제 외&gt;
·천연 탄산수를 생산하여 용기에 포장하는 산업(155401)</t>
        </is>
      </c>
      <c r="G122" s="90" t="n">
        <v>85.7</v>
      </c>
      <c r="H122" s="90" t="n">
        <v>0</v>
      </c>
      <c r="I122" s="90" t="n">
        <v>14.4</v>
      </c>
    </row>
    <row r="123" ht="17.25" customHeight="1" s="66">
      <c r="A123" s="65" t="inlineStr">
        <is>
          <t>155404</t>
        </is>
      </c>
      <c r="B123" s="68" t="inlineStr">
        <is>
          <t>제조업</t>
        </is>
      </c>
      <c r="C123" s="68" t="inlineStr">
        <is>
          <t>음료 제조업</t>
        </is>
      </c>
      <c r="D123" s="68" t="inlineStr">
        <is>
          <t>비알코올 음료 및 얼음 제조업</t>
        </is>
      </c>
      <c r="E123" s="68" t="inlineStr">
        <is>
          <t>얼음 제조업</t>
        </is>
      </c>
      <c r="F123" s="68" t="inlineStr">
        <is>
          <t>◦식용 또는 냉장용 얼음 및 인조 눈(雪)을 생산하는 산업활동을 말한다. 천연 얼음을 채취하여 저장하는 경우도 포함한다.
&lt;예 시&gt;
·얼음 제조(식용 또는 냉장용)
·천연 얼음 채취 및 저장활동
&lt;제 외&gt;
·빙과 제조(152003)
·드라이아이스 제조(241101)</t>
        </is>
      </c>
      <c r="G123" s="90" t="n">
        <v>89.2</v>
      </c>
      <c r="H123" s="90" t="n">
        <v>0</v>
      </c>
      <c r="I123" s="90" t="n">
        <v>14.4</v>
      </c>
    </row>
    <row r="124" ht="17.25" customHeight="1" s="66">
      <c r="A124" s="65" t="inlineStr">
        <is>
          <t>160000</t>
        </is>
      </c>
      <c r="B124" s="68" t="inlineStr">
        <is>
          <t>제조업</t>
        </is>
      </c>
      <c r="C124" s="68" t="inlineStr">
        <is>
          <t>담배 제조업</t>
        </is>
      </c>
      <c r="D124" s="68" t="inlineStr">
        <is>
          <t>담배 제조업</t>
        </is>
      </c>
      <c r="E124" s="68" t="inlineStr">
        <is>
          <t>담배제품 제조업</t>
        </is>
      </c>
      <c r="F124" s="68" t="inlineStr">
        <is>
          <t>◦담배를 가공하여 각종 담배제품을 제조하거나 담배가 함유되지 않은 흡연용 담배 대용품을 제조하는 산업활동을 말한다. 1차 건조된 잎담배를 구입하여 줄기를 제거하거나 재건조하는 산업활동도 포함한다.
&lt;예 시&gt;
·담배 에센스 제조
·금연용 담배 제조(비의약성)
·담배 줄기 제거
·잎담배 재건조
·니코틴이 함유된 전자담배 기기용 용액 제조
&lt;제 외&gt;
·니코틴(연초에서 추출된 알칼로이드) 제조(242303)
·담배필터 제조(369906)
·수수료 또는 계약에 의하여 타농가의 잎담배를 건조할 경우(014303)
·재배 농가에서 자기 잎담배를 직접 건조할 경우(011006)</t>
        </is>
      </c>
      <c r="G124" s="90" t="n">
        <v>94.3</v>
      </c>
      <c r="H124" s="90" t="n">
        <v>0</v>
      </c>
      <c r="I124" s="90" t="n">
        <v>16.1</v>
      </c>
    </row>
    <row r="125" ht="17.25" customHeight="1" s="66">
      <c r="A125" s="65" t="inlineStr">
        <is>
          <t>171101</t>
        </is>
      </c>
      <c r="B125" s="68" t="inlineStr">
        <is>
          <t>제조업</t>
        </is>
      </c>
      <c r="C125" s="68" t="inlineStr">
        <is>
          <t>섬유제품 제조업: 의복 제외</t>
        </is>
      </c>
      <c r="D125" s="68" t="inlineStr">
        <is>
          <t>방적 및 가공사 제조업</t>
        </is>
      </c>
      <c r="E125" s="68" t="inlineStr">
        <is>
          <t>화학섬유 방적업</t>
        </is>
      </c>
      <c r="F125" s="68" t="inlineStr">
        <is>
          <t>◦인견사, 아세테이트사</t>
        </is>
      </c>
      <c r="G125" s="90" t="n">
        <v>95.2</v>
      </c>
      <c r="H125" s="90" t="n">
        <v>0</v>
      </c>
      <c r="I125" s="90" t="n">
        <v>13.1</v>
      </c>
    </row>
    <row r="126" ht="17.25" customHeight="1" s="66">
      <c r="A126" s="65" t="inlineStr">
        <is>
          <t>171102</t>
        </is>
      </c>
      <c r="B126" s="68" t="inlineStr">
        <is>
          <t>제조업</t>
        </is>
      </c>
      <c r="C126" s="68" t="inlineStr">
        <is>
          <t>섬유제품 제조업: 의복 제외</t>
        </is>
      </c>
      <c r="D126" s="68" t="inlineStr">
        <is>
          <t>방적 및 가공사 제조업</t>
        </is>
      </c>
      <c r="E126" s="68" t="inlineStr">
        <is>
          <t>면 방적업</t>
        </is>
      </c>
      <c r="F126" s="68" t="inlineStr">
        <is>
          <t>◦면을 방적하여 면사를 제조하는 산업활동을 말한다.
&lt;예 시&gt;
·면사 제조
·면 혼방사 제조
&lt;제 외&gt;
·아바카, 사이잘마, 라미사, 코이어사등 마섬유류 방적(171114)</t>
        </is>
      </c>
      <c r="G126" s="90" t="n">
        <v>91.09999999999999</v>
      </c>
      <c r="H126" s="90" t="n">
        <v>0</v>
      </c>
      <c r="I126" s="90" t="n">
        <v>17.6</v>
      </c>
    </row>
    <row r="127" ht="17.25" customHeight="1" s="66">
      <c r="A127" s="65" t="inlineStr">
        <is>
          <t>171104</t>
        </is>
      </c>
      <c r="B127" s="68" t="inlineStr">
        <is>
          <t>제조업</t>
        </is>
      </c>
      <c r="C127" s="68" t="inlineStr">
        <is>
          <t>섬유제품 제조업: 의복 제외</t>
        </is>
      </c>
      <c r="D127" s="68" t="inlineStr">
        <is>
          <t>방적 및 가공사 제조업</t>
        </is>
      </c>
      <c r="E127" s="68" t="inlineStr">
        <is>
          <t>모 방적업</t>
        </is>
      </c>
      <c r="F127" s="68" t="inlineStr">
        <is>
          <t>◦면양 털(양모) 또는 기타 동물 털(수모)을 방적하여 소모사 및 방모사를 제조하는 산업활동을 말한다.
&lt;예 시&gt;
·견(실크) 노일 혼방모사 제조
·마모사 제조
·순소모사, 혼방소모사 제조
·섬수모사 제조
·조수모사 제조
·순방모사, 혼방 방모사 제조</t>
        </is>
      </c>
      <c r="G127" s="90" t="n">
        <v>93</v>
      </c>
      <c r="H127" s="90" t="n">
        <v>0</v>
      </c>
      <c r="I127" s="90" t="n">
        <v>9.800000000000001</v>
      </c>
    </row>
    <row r="128" ht="17.25" customHeight="1" s="66">
      <c r="A128" s="65" t="inlineStr">
        <is>
          <t>171105</t>
        </is>
      </c>
      <c r="B128" s="68" t="inlineStr">
        <is>
          <t>제조업</t>
        </is>
      </c>
      <c r="C128" s="68" t="inlineStr">
        <is>
          <t>섬유제품 제조업: 의복 제외</t>
        </is>
      </c>
      <c r="D128" s="68" t="inlineStr">
        <is>
          <t>방적 및 가공사 제조업</t>
        </is>
      </c>
      <c r="E128" s="68" t="inlineStr">
        <is>
          <t>연사 및 가공사 제조업</t>
        </is>
      </c>
      <c r="F128" s="68" t="inlineStr">
        <is>
          <t>◦각종 섬유 원사로 합사, 재봉사 등의 연사 및 가공사를 제조하는 산업활동을 말한다.
&lt;예 시&gt;
·자수사 제조
·텍스처드 가공사 제조
·편물사 제조
·견재봉사 제조
·가연사 제조
&lt;제 외&gt;
*실감기 임가공(→193001)</t>
        </is>
      </c>
      <c r="G128" s="90" t="n">
        <v>94.59999999999999</v>
      </c>
      <c r="H128" s="90" t="n">
        <v>0</v>
      </c>
      <c r="I128" s="90" t="n">
        <v>7.7</v>
      </c>
    </row>
    <row r="129" ht="17.25" customHeight="1" s="66">
      <c r="A129" s="65" t="inlineStr">
        <is>
          <t>171106</t>
        </is>
      </c>
      <c r="B129" s="68" t="inlineStr">
        <is>
          <t>제조업</t>
        </is>
      </c>
      <c r="C129" s="68" t="inlineStr">
        <is>
          <t>섬유제품 제조업: 의복 제외</t>
        </is>
      </c>
      <c r="D129" s="68" t="inlineStr">
        <is>
          <t>방적 및 가공사 제조업</t>
        </is>
      </c>
      <c r="E129" s="68" t="inlineStr">
        <is>
          <t>화학섬유 방적업</t>
        </is>
      </c>
      <c r="F129" s="68" t="inlineStr">
        <is>
          <t>◦나일론사</t>
        </is>
      </c>
      <c r="G129" s="90" t="n">
        <v>88</v>
      </c>
      <c r="H129" s="90" t="n">
        <v>0</v>
      </c>
      <c r="I129" s="90" t="n">
        <v>8.800000000000001</v>
      </c>
    </row>
    <row r="130" ht="17.25" customHeight="1" s="66">
      <c r="A130" s="65" t="inlineStr">
        <is>
          <t>171107</t>
        </is>
      </c>
      <c r="B130" s="68" t="inlineStr">
        <is>
          <t>제조업</t>
        </is>
      </c>
      <c r="C130" s="68" t="inlineStr">
        <is>
          <t>섬유제품 제조업: 의복 제외</t>
        </is>
      </c>
      <c r="D130" s="68" t="inlineStr">
        <is>
          <t>방적 및 가공사 제조업</t>
        </is>
      </c>
      <c r="E130" s="68" t="inlineStr">
        <is>
          <t>화학섬유 방적업</t>
        </is>
      </c>
      <c r="F130" s="68" t="inlineStr">
        <is>
          <t>◦PVC사류</t>
        </is>
      </c>
      <c r="G130" s="90" t="n">
        <v>92.40000000000001</v>
      </c>
      <c r="H130" s="90" t="n">
        <v>0</v>
      </c>
      <c r="I130" s="90" t="n">
        <v>8.800000000000001</v>
      </c>
    </row>
    <row r="131" ht="17.25" customHeight="1" s="66">
      <c r="A131" s="65" t="inlineStr">
        <is>
          <t>171108</t>
        </is>
      </c>
      <c r="B131" s="68" t="inlineStr">
        <is>
          <t>제조업</t>
        </is>
      </c>
      <c r="C131" s="68" t="inlineStr">
        <is>
          <t>섬유제품 제조업: 의복 제외</t>
        </is>
      </c>
      <c r="D131" s="68" t="inlineStr">
        <is>
          <t>방적 및 가공사 제조업</t>
        </is>
      </c>
      <c r="E131" s="68" t="inlineStr">
        <is>
          <t>화학섬유 방적업</t>
        </is>
      </c>
      <c r="F131" s="68" t="inlineStr">
        <is>
          <t>◦주로 구입한 화학섬유(합성섬유 또는 재생섬유 등)를 방적하여 화학 섬유사를 제조하는 산업활동을 말한다.
&lt;예 시&gt;
·합성섬유 방적사 제조
·재생섬유 방적사 제조
·인조섬유 방적사 제조
·반합성섬유 방적사 제조
&lt;제 외&gt;
·방적준비를 하지 않은 인조 또는 합성섬유의 필라멘트사, 스테이플 섬유사 제조(243000)
*인견사, 아세테이드사(→171101)
*나일론사(→171106)
*PVC사류(→171107)</t>
        </is>
      </c>
      <c r="G131" s="90" t="n">
        <v>91.5</v>
      </c>
      <c r="H131" s="90" t="n">
        <v>0</v>
      </c>
      <c r="I131" s="90" t="n">
        <v>10</v>
      </c>
    </row>
    <row r="132" ht="17.25" customHeight="1" s="66">
      <c r="A132" s="65" t="inlineStr">
        <is>
          <t>171109</t>
        </is>
      </c>
      <c r="B132" s="68" t="inlineStr">
        <is>
          <t>제조업</t>
        </is>
      </c>
      <c r="C132" s="68" t="inlineStr">
        <is>
          <t>섬유제품 제조업: 의복 제외</t>
        </is>
      </c>
      <c r="D132" s="68" t="inlineStr">
        <is>
          <t>직물 직조업</t>
        </is>
      </c>
      <c r="E132" s="68" t="inlineStr">
        <is>
          <t>화학섬유직물 직조업</t>
        </is>
      </c>
      <c r="F132" s="68" t="inlineStr">
        <is>
          <t>◦화학섬유사로 일반용 광폭 섬유직물을 직조하는 산업활동을 말한다.
&lt;예 시&gt;
·인조 섬유직물 직조
·재생 섬유직물 직조
·합성 섬유직물 직조    
·반합성 섬유직물 직조
·셀룰로오스 섬유직물 직조
·레이온(인견직물) 섬유직물 직조
&lt;제 외&gt;
·특수 인견직물 직조(171116)</t>
        </is>
      </c>
      <c r="G132" s="90" t="n">
        <v>95.7</v>
      </c>
      <c r="H132" s="90" t="n">
        <v>0</v>
      </c>
      <c r="I132" s="90" t="n">
        <v>5.9</v>
      </c>
    </row>
    <row r="133" ht="17.25" customHeight="1" s="66">
      <c r="A133" s="65" t="inlineStr">
        <is>
          <t>171110</t>
        </is>
      </c>
      <c r="B133" s="68" t="inlineStr">
        <is>
          <t>제조업</t>
        </is>
      </c>
      <c r="C133" s="68" t="inlineStr">
        <is>
          <t>섬유제품 제조업: 의복 제외</t>
        </is>
      </c>
      <c r="D133" s="68" t="inlineStr">
        <is>
          <t>방적 및 가공사 제조업</t>
        </is>
      </c>
      <c r="E133" s="68" t="inlineStr">
        <is>
          <t>기타 방적업</t>
        </is>
      </c>
      <c r="F133" s="68" t="inlineStr">
        <is>
          <t>◦주로 조사기를 사용하여 생사를 제조하는 업과 주로 부잠사를 방적하여 견방적사를 제조하는 업
&lt;예 시&gt;
·생사, 부잠사, 옥사, 야잠사
·견방적사, 혼방적사, 견방사, 견가공사,견노일 등</t>
        </is>
      </c>
      <c r="G133" s="90" t="n">
        <v>95.2</v>
      </c>
      <c r="H133" s="90" t="n">
        <v>0</v>
      </c>
      <c r="I133" s="90" t="n">
        <v>13.1</v>
      </c>
    </row>
    <row r="134" ht="17.25" customHeight="1" s="66">
      <c r="A134" s="65" t="inlineStr">
        <is>
          <t>171112</t>
        </is>
      </c>
      <c r="B134" s="68" t="inlineStr">
        <is>
          <t>제조업</t>
        </is>
      </c>
      <c r="C134" s="68" t="inlineStr">
        <is>
          <t>섬유제품 제조업: 의복 제외</t>
        </is>
      </c>
      <c r="D134" s="68" t="inlineStr">
        <is>
          <t>직물 직조업</t>
        </is>
      </c>
      <c r="E134" s="68" t="inlineStr">
        <is>
          <t>모직물 직조업</t>
        </is>
      </c>
      <c r="F134" s="68" t="inlineStr">
        <is>
          <t>◦소모사 또는 방모사로 일반용 광폭 모직물을 직조하는 산업활동을 말한다.
&lt;예 시&gt;
·섬수모직물 직조
·소모직물 직조
·조수모직물 직조
·모직물 직조
&lt;제 외&gt;
·특수 모직물 직조(171116)</t>
        </is>
      </c>
      <c r="G134" s="90" t="n">
        <v>94.3</v>
      </c>
      <c r="H134" s="90" t="n">
        <v>0</v>
      </c>
      <c r="I134" s="90" t="n">
        <v>12.1</v>
      </c>
    </row>
    <row r="135" ht="17.25" customHeight="1" s="66">
      <c r="A135" s="65" t="inlineStr">
        <is>
          <t>171114</t>
        </is>
      </c>
      <c r="B135" s="68" t="inlineStr">
        <is>
          <t>제조업</t>
        </is>
      </c>
      <c r="C135" s="68" t="inlineStr">
        <is>
          <t>섬유제품 제조업: 의복 제외</t>
        </is>
      </c>
      <c r="D135" s="68" t="inlineStr">
        <is>
          <t>방적 및 가공사 제조업</t>
        </is>
      </c>
      <c r="E135" s="68" t="inlineStr">
        <is>
          <t>기타 방적업</t>
        </is>
      </c>
      <c r="F135" s="68" t="inlineStr">
        <is>
          <t>◦기타 섬유재료로 종이실 및 기타 섬유 방적사를 제조하는 산업활동을 말한다.
&lt;예 시&gt;
·마방적
·마사(삼실, 삼껍질에서 뽑은 실) 제조
·코이어사 제조
·라미사 제조
·아바카사 제조
·사이잘마사 제조
·종이실(초섬사) 제조
&lt;제 외&gt;
*생사, 견방적사 제조(→171110)</t>
        </is>
      </c>
      <c r="G135" s="90" t="n">
        <v>91.09999999999999</v>
      </c>
      <c r="H135" s="90" t="n">
        <v>0</v>
      </c>
      <c r="I135" s="90" t="n">
        <v>17.6</v>
      </c>
    </row>
    <row r="136" ht="17.25" customHeight="1" s="66">
      <c r="A136" s="65" t="inlineStr">
        <is>
          <t>171115</t>
        </is>
      </c>
      <c r="B136" s="68" t="inlineStr">
        <is>
          <t>제조업</t>
        </is>
      </c>
      <c r="C136" s="68" t="inlineStr">
        <is>
          <t>섬유제품 제조업: 의복 제외</t>
        </is>
      </c>
      <c r="D136" s="68" t="inlineStr">
        <is>
          <t>직물 직조업</t>
        </is>
      </c>
      <c r="E136" s="68" t="inlineStr">
        <is>
          <t>면직물 직조업</t>
        </is>
      </c>
      <c r="F136" s="68" t="inlineStr">
        <is>
          <t>◦면사로 일반용 광폭 면직물을 직조하는 산업활동을 말한다.
&lt;예 시&gt;
·면직물 직조
·무명 직조
&lt;제 외&gt;
·마직물 및 특수 면직물 직조(171116)</t>
        </is>
      </c>
      <c r="G136" s="90" t="n">
        <v>95.7</v>
      </c>
      <c r="H136" s="90" t="n">
        <v>0</v>
      </c>
      <c r="I136" s="90" t="n">
        <v>8.1</v>
      </c>
    </row>
    <row r="137" ht="17.25" customHeight="1" s="66">
      <c r="A137" s="65" t="inlineStr">
        <is>
          <t>171116</t>
        </is>
      </c>
      <c r="B137" s="68" t="inlineStr">
        <is>
          <t>제조업</t>
        </is>
      </c>
      <c r="C137" s="68" t="inlineStr">
        <is>
          <t>섬유제품 제조업: 의복 제외</t>
        </is>
      </c>
      <c r="D137" s="68" t="inlineStr">
        <is>
          <t>직물 직조업</t>
        </is>
      </c>
      <c r="E137" s="68" t="inlineStr">
        <is>
          <t>특수직물 및 기타 직물 직조업</t>
        </is>
      </c>
      <c r="F137" s="68" t="inlineStr">
        <is>
          <t>◦각종 섬유사로 파일(pile), 셔닐(chenille), 테리(terry), 거즈(gauze), 및 터프티드(tufted) 직물 등 각종 특수직물을 직조하는 산업활동과 마 등 기타 인피(靭皮) 섬유사, 생사 및 견방적사, 유리섬유사, 고무사, 금속사 등으로 광폭 직물 등을 직조하는 산업활동을 말한다.
&lt;예 시&gt;
·파일, 셔닐, 테리, 거즈, 터프티드 직물 직조
·타포린직물 직조
·마직물 직조
·아바카직물 직조
·코이어직물 직조
·포대용 직물 직조
·매트 및 리놀륨 제조용 기타 식물성 기포(基布)직물 직조
·고무사 직물, 금속사 직물과 튤, 레이스 및 기타 망직물 직조
·견직물 직조
·인견직물 직조
·모시직물 직조 
&lt;제 외&gt;
·전동벨트 등 기계용 직물 및 섬유제품 제조(172902)
·인조견 광폭직물 직조(171109)
＊기타 직물 직조 임가공(→193001)</t>
        </is>
      </c>
      <c r="G137" s="90" t="n">
        <v>95.7</v>
      </c>
      <c r="H137" s="90" t="n">
        <v>0</v>
      </c>
      <c r="I137" s="90" t="n">
        <v>8.1</v>
      </c>
    </row>
    <row r="138" ht="17.25" customHeight="1" s="66">
      <c r="A138" s="65" t="inlineStr">
        <is>
          <t>171200</t>
        </is>
      </c>
      <c r="B138" s="68" t="inlineStr">
        <is>
          <t>제조업</t>
        </is>
      </c>
      <c r="C138" s="68" t="inlineStr">
        <is>
          <t>섬유제품 제조업: 의복 제외</t>
        </is>
      </c>
      <c r="D138" s="68" t="inlineStr">
        <is>
          <t>섬유제품 염색, 정리 및 마무리 가공업</t>
        </is>
      </c>
      <c r="E138" s="68" t="inlineStr">
        <is>
          <t>직물, 편조 원단 및 의복류 염색 가공업</t>
        </is>
      </c>
      <c r="F138" s="68" t="inlineStr">
        <is>
          <t>◦각종 직물 및 편조원단, 의복 및 의복 액세서리를 염색◦표백 및 가공◦정리하는 산업활동을 말한다. 염색 가공공정 전후에 연결하여 수행하는 표백 및 기타 정리 작업(날염처리 이외의 정련, 유연화 처리, 광택내기, 보풀 제거, 건조 및 다림질 등)도 포함한다.
&lt;예 시&gt;
·직물 및 편물 원단 염색 가공
·직물 및 편물 원단 정리 가공
·의복 염색 가공
·의복 액세서리류 염색 가공
&lt;제 외&gt;
*직물, 편물 원단 염색 임가공(→193009)</t>
        </is>
      </c>
      <c r="G138" s="90" t="n">
        <v>94.59999999999999</v>
      </c>
      <c r="H138" s="90" t="n">
        <v>0</v>
      </c>
      <c r="I138" s="90" t="n">
        <v>9.4</v>
      </c>
    </row>
    <row r="139" ht="17.25" customHeight="1" s="66">
      <c r="A139" s="65" t="inlineStr">
        <is>
          <t>171201</t>
        </is>
      </c>
      <c r="B139" s="68" t="inlineStr">
        <is>
          <t>제조업</t>
        </is>
      </c>
      <c r="C139" s="68" t="inlineStr">
        <is>
          <t>섬유제품 제조업: 의복 제외</t>
        </is>
      </c>
      <c r="D139" s="68" t="inlineStr">
        <is>
          <t>섬유제품 염색, 정리 및 마무리 가공업</t>
        </is>
      </c>
      <c r="E139" s="68" t="inlineStr">
        <is>
          <t>솜 및 실 염색 가공업</t>
        </is>
      </c>
      <c r="F139" s="68" t="inlineStr">
        <is>
          <t>◦각종 솜, 실, 끈, 끈 가공품을 염색 가공하는 산업활동을 말한다. 염색 가공공정 전후에 연결하여 수행하는 표백 및 기타 정리 작업(날염처리 이외의 정련, 유연화 처리, 광택내기, 보풀 제거, 건조 및 다림질 등)도 포함한다.
&lt;예 시&gt;
·솜, 실 염색 및 정리 가공
&lt;제 외&gt;
·섬유 및 실 날염(171202)
*솜, 실 염색 임가공(→193009)</t>
        </is>
      </c>
      <c r="G139" s="90" t="n">
        <v>94.59999999999999</v>
      </c>
      <c r="H139" s="90" t="n">
        <v>0</v>
      </c>
      <c r="I139" s="90" t="n">
        <v>11</v>
      </c>
    </row>
    <row r="140" ht="17.25" customHeight="1" s="66">
      <c r="A140" s="65" t="inlineStr">
        <is>
          <t>171202</t>
        </is>
      </c>
      <c r="B140" s="68" t="inlineStr">
        <is>
          <t>제조업</t>
        </is>
      </c>
      <c r="C140" s="68" t="inlineStr">
        <is>
          <t>섬유제품 제조업: 의복 제외</t>
        </is>
      </c>
      <c r="D140" s="68" t="inlineStr">
        <is>
          <t>섬유제품 염색, 정리 및 마무리 가공업</t>
        </is>
      </c>
      <c r="E140" s="68" t="inlineStr">
        <is>
          <t>날염 가공업</t>
        </is>
      </c>
      <c r="F140" s="68" t="inlineStr">
        <is>
          <t xml:space="preserve">◦각종 직조 원단, 편조 원단 및 직물제품(의복 포함)을 기계 또는 수작업으로 날염 가공 및 정리하는 산업활동을 말한다.
&lt;제 외&gt;
·각종 인쇄물(인쇄 광고물, 플래카드 등) 제작에 관련된 스크린인쇄(222102)
*날염 임가공(→193009) </t>
        </is>
      </c>
      <c r="G140" s="90" t="n">
        <v>94.59999999999999</v>
      </c>
      <c r="H140" s="90" t="n">
        <v>0</v>
      </c>
      <c r="I140" s="90" t="n">
        <v>7.7</v>
      </c>
    </row>
    <row r="141" ht="17.25" customHeight="1" s="66">
      <c r="A141" s="65" t="inlineStr">
        <is>
          <t>171203</t>
        </is>
      </c>
      <c r="B141" s="68" t="inlineStr">
        <is>
          <t>제조업</t>
        </is>
      </c>
      <c r="C141" s="68" t="inlineStr">
        <is>
          <t>섬유제품 제조업: 의복 제외</t>
        </is>
      </c>
      <c r="D141" s="68" t="inlineStr">
        <is>
          <t>섬유제품 염색, 정리 및 마무리 가공업</t>
        </is>
      </c>
      <c r="E141" s="68" t="inlineStr">
        <is>
          <t>섬유제품 기타 정리 및 마무리 가공업</t>
        </is>
      </c>
      <c r="F141" s="68" t="inlineStr">
        <is>
          <t>◦각종 솜, 실, 끈, 끈 가공품, 직물 및 편조 원단, 의복 및 의복 액세서리류를 정련◦유연화◦광택 내기◦보풀 제거◦건조 및 다림질◦주름 가공◦단추구멍 내기 및 싸기◦풀 처리 등 가공, 정리하는 산업활동을 말한다.
&lt;예 시&gt;
·솜, 실, 끈, 끈 가공품 정리 및 마무리 가공
·직물 및 편조 원단 정리 및 마무리 가공
·의복 정리 및 마무리 가공
·의복 액세서리 정리 및 마무리 가공
&lt;제 외&gt;
·섬유제품 염색 가공(171201, 171200)
·섬유제품 날염 가공(171202)
·방적 및 가공사, 직물 직조 및 직물제품, 편조 원단 및 편조제품, 기타 섬유제품, 의복 및 의복 액세서리류 등을 제조하는 사업체가 연결 공정으로 수행하는 염색, 정리 및 마무리 가공활동은 해당되는 제품 제조와 관련한 산업활동으로 구분
*의복 액세서리 정리 및 마무리 임가공(→193001)</t>
        </is>
      </c>
      <c r="G141" s="90" t="n">
        <v>94.59999999999999</v>
      </c>
      <c r="H141" s="90" t="n">
        <v>0</v>
      </c>
      <c r="I141" s="90" t="n">
        <v>7.2</v>
      </c>
    </row>
    <row r="142" ht="17.25" customHeight="1" s="66">
      <c r="A142" s="65" t="inlineStr">
        <is>
          <t>172101</t>
        </is>
      </c>
      <c r="B142" s="68" t="inlineStr">
        <is>
          <t>제조업</t>
        </is>
      </c>
      <c r="C142" s="68" t="inlineStr">
        <is>
          <t>섬유제품 제조업: 의복 제외</t>
        </is>
      </c>
      <c r="D142" s="68" t="inlineStr">
        <is>
          <t>직물제품 제조업</t>
        </is>
      </c>
      <c r="E142" s="68" t="inlineStr">
        <is>
          <t>침구 및 관련제품 제조업</t>
        </is>
      </c>
      <c r="F142" s="68" t="inlineStr">
        <is>
          <t>◦각종 침구류 및 관련제품, 침대용◦식탁용 또는 기타 가정용 린넨류 등을 제조하는 산업활동을 말한다. 봉제 방석 및 방석 커버, 전기담요용 직물 부분품을 제조하는 산업활동도 여기에 포함한다.
&lt;예 시&gt;
·모포 제조
·쿠션 제조
·베개 및 베개보 제조
·침낭 제조
·매트리스 커버 제조
·이불 제조
&lt;제 외&gt;
·수공 또는 기계자수 제품 제조(172102)
·전기담요 제조(293005)</t>
        </is>
      </c>
      <c r="G142" s="90" t="n">
        <v>93.5</v>
      </c>
      <c r="H142" s="90" t="n">
        <v>0</v>
      </c>
      <c r="I142" s="90" t="n">
        <v>8.4</v>
      </c>
    </row>
    <row r="143" ht="17.25" customHeight="1" s="66">
      <c r="A143" s="65" t="inlineStr">
        <is>
          <t>172102</t>
        </is>
      </c>
      <c r="B143" s="68" t="inlineStr">
        <is>
          <t>제조업</t>
        </is>
      </c>
      <c r="C143" s="68" t="inlineStr">
        <is>
          <t>섬유제품 제조업: 의복 제외</t>
        </is>
      </c>
      <c r="D143" s="68" t="inlineStr">
        <is>
          <t>직물제품 제조업</t>
        </is>
      </c>
      <c r="E143" s="68" t="inlineStr">
        <is>
          <t>자수제품 및 자수용 재료 제조업</t>
        </is>
      </c>
      <c r="F143" s="68" t="inlineStr">
        <is>
          <t>◦직물 원단을 기계 또는 손으로 자수하여 자수제품을 생산하거나 각종 직물 원단에 날염 등의 방법으로 자수 도안 및 재단하여 방석, 자수포, 기타 자수제품 제조용 재료와 관련 재료를 소매용 세트로 생산하는 산업활동을 말한다.
&lt;예 시&gt;
·태피스트리 제조
·자수용 재료 세트 생산
·장식용 자수제품 제조
·기계자수침구
·수공자수
&lt;제 외&gt;
*직물 자수 임가공(→193001)</t>
        </is>
      </c>
      <c r="G143" s="90" t="n">
        <v>94</v>
      </c>
      <c r="H143" s="90" t="n">
        <v>0</v>
      </c>
      <c r="I143" s="90" t="n">
        <v>11.5</v>
      </c>
    </row>
    <row r="144" ht="17.25" customHeight="1" s="66">
      <c r="A144" s="65" t="inlineStr">
        <is>
          <t>172103</t>
        </is>
      </c>
      <c r="B144" s="68" t="inlineStr">
        <is>
          <t>제조업</t>
        </is>
      </c>
      <c r="C144" s="68" t="inlineStr">
        <is>
          <t>섬유제품 제조업: 의복 제외</t>
        </is>
      </c>
      <c r="D144" s="68" t="inlineStr">
        <is>
          <t>직물제품 제조업</t>
        </is>
      </c>
      <c r="E144" s="68" t="inlineStr">
        <is>
          <t>천막, 텐트 및 유사 제품 제조업</t>
        </is>
      </c>
      <c r="F144" s="68" t="inlineStr">
        <is>
          <t>◦타포린 직물 또는 캔버스 직물로 천막, 캠프용 텐트, 차량용◦기계용◦가구용의 겉덮개 등을 제조하는 산업활동을 말한다.
&lt;예 시&gt;
·차양 제조
·캠핑용 직물제품 제조
·압축공기식 매트리스 제조
·돛 제조
&lt;제 외&gt;
·구명대, 구명조끼 및 구명벨트 제조(172109)</t>
        </is>
      </c>
      <c r="G144" s="90" t="n">
        <v>93.3</v>
      </c>
      <c r="H144" s="90" t="n">
        <v>0</v>
      </c>
      <c r="I144" s="90" t="n">
        <v>9.1</v>
      </c>
    </row>
    <row r="145" ht="17.25" customHeight="1" s="66">
      <c r="A145" s="65" t="inlineStr">
        <is>
          <t>172106</t>
        </is>
      </c>
      <c r="B145" s="68" t="inlineStr">
        <is>
          <t>제조업</t>
        </is>
      </c>
      <c r="C145" s="68" t="inlineStr">
        <is>
          <t>섬유제품 제조업: 의복 제외</t>
        </is>
      </c>
      <c r="D145" s="68" t="inlineStr">
        <is>
          <t>직물제품 제조업</t>
        </is>
      </c>
      <c r="E145" s="68" t="inlineStr">
        <is>
          <t>커튼 및 유사 제품 제조업</t>
        </is>
      </c>
      <c r="F145" s="68" t="inlineStr">
        <is>
          <t>◦방직용 섬유제의 각종 커튼 및 유사 제품을 제조하는 산업활동을 말한다.
&lt;예 시&gt;
·벽덮개 제조
·무대막 제조
·벽가리개 제조
·실내용 블라인드 제조
&lt;제 외&gt;
·국기, 페넌트 및 기타 깃발 제조(172109)
·직물 벽지 제조(210902)</t>
        </is>
      </c>
      <c r="G145" s="90" t="n">
        <v>93.5</v>
      </c>
      <c r="H145" s="90" t="n">
        <v>0</v>
      </c>
      <c r="I145" s="90" t="n">
        <v>7.2</v>
      </c>
    </row>
    <row r="146" ht="17.25" customHeight="1" s="66">
      <c r="A146" s="65" t="inlineStr">
        <is>
          <t>172107</t>
        </is>
      </c>
      <c r="B146" s="68" t="inlineStr">
        <is>
          <t>제조업</t>
        </is>
      </c>
      <c r="C146" s="68" t="inlineStr">
        <is>
          <t>섬유제품 제조업: 의복 제외</t>
        </is>
      </c>
      <c r="D146" s="68" t="inlineStr">
        <is>
          <t>직물제품 제조업</t>
        </is>
      </c>
      <c r="E146" s="68" t="inlineStr">
        <is>
          <t>직물포대 제조업</t>
        </is>
      </c>
      <c r="F146" s="68" t="inlineStr">
        <is>
          <t>◦직물을 재단 및 재봉하여 곡식, 석탄, 우편물 등을 담는 직물포대를 제조하는 산업활동을 말한다. 합성섬유 또는 플라스틱 재료를 봉제하여 제조한 포대도 포함한다.
&lt;예 시&gt;
·직물포대 제조
·플라스틱제 봉재 포대 제조
&lt;제 외&gt;
·직물 직조에 연관된 포대 제조(171116)
·직물류 가방, 배낭 및 보호용 케이스 제조(191200)
·플라스틱 필름을 절단·접합하여 포대를 제조(252402)</t>
        </is>
      </c>
      <c r="G146" s="90" t="n">
        <v>93.5</v>
      </c>
      <c r="H146" s="90" t="n">
        <v>0</v>
      </c>
      <c r="I146" s="90" t="n">
        <v>9.800000000000001</v>
      </c>
    </row>
    <row r="147" ht="17.25" customHeight="1" s="66">
      <c r="A147" s="65" t="inlineStr">
        <is>
          <t>172108</t>
        </is>
      </c>
      <c r="B147" s="68" t="inlineStr">
        <is>
          <t>제조업</t>
        </is>
      </c>
      <c r="C147" s="68" t="inlineStr">
        <is>
          <t>자동차 및 트레일러 제조업</t>
        </is>
      </c>
      <c r="D147" s="68" t="inlineStr">
        <is>
          <t>자동차용 기타 신품 부품 제조업</t>
        </is>
      </c>
      <c r="E147" s="68" t="inlineStr">
        <is>
          <t>자동차용 신품 의자 제조업</t>
        </is>
      </c>
      <c r="F147" s="68" t="inlineStr">
        <is>
          <t>◦자동차용 신품 의자(시트) 및 관련 부속품을 제조하는 산업활동을 말한다.
&lt;예 시&gt;
·자동차용 의자(시트) 및 관련 부품 제조
·자동차시트카바(플라스틱 원단, 인조모피로 만든 제품도 포함)</t>
        </is>
      </c>
      <c r="G147" s="90" t="n">
        <v>93.5</v>
      </c>
      <c r="H147" s="90" t="n">
        <v>0</v>
      </c>
      <c r="I147" s="90" t="n">
        <v>5.5</v>
      </c>
    </row>
    <row r="148" ht="17.25" customHeight="1" s="66">
      <c r="A148" s="65" t="inlineStr">
        <is>
          <t>172109</t>
        </is>
      </c>
      <c r="B148" s="68" t="inlineStr">
        <is>
          <t>제조업</t>
        </is>
      </c>
      <c r="C148" s="68" t="inlineStr">
        <is>
          <t>섬유제품 제조업: 의복 제외</t>
        </is>
      </c>
      <c r="D148" s="68" t="inlineStr">
        <is>
          <t>직물제품 제조업</t>
        </is>
      </c>
      <c r="E148" s="68" t="inlineStr">
        <is>
          <t>기타 직물제품 제조업</t>
        </is>
      </c>
      <c r="F148" s="68" t="inlineStr">
        <is>
          <t>◦기타 직물제품을 제조하는 산업활동을 말한다.
&lt;예 시&gt;
·먼지떨이 제조(직물제)
·식탁보 제조
·직물제 마스크 제조
·깃발 제조
·낙하산 제조
·구명벨트 제조
·구명조끼, 구명대 제조
·신발류 끈 제조
·드레스 패턴 제조
·페넌트 제조
·국기, 기치물 제조
·모기장 제조
&lt;제 외&gt;
·천막 및 캔버스제품 제조(172103)
*수건(→172111)</t>
        </is>
      </c>
      <c r="G148" s="90" t="n">
        <v>91</v>
      </c>
      <c r="H148" s="90" t="n">
        <v>0</v>
      </c>
      <c r="I148" s="90" t="n">
        <v>8.699999999999999</v>
      </c>
    </row>
    <row r="149" ht="17.25" customHeight="1" s="66">
      <c r="A149" s="65" t="inlineStr">
        <is>
          <t>172111</t>
        </is>
      </c>
      <c r="B149" s="68" t="inlineStr">
        <is>
          <t>제조업</t>
        </is>
      </c>
      <c r="C149" s="68" t="inlineStr">
        <is>
          <t>섬유제품 제조업: 의복 제외</t>
        </is>
      </c>
      <c r="D149" s="68" t="inlineStr">
        <is>
          <t>직물제품 제조업</t>
        </is>
      </c>
      <c r="E149" s="68" t="inlineStr">
        <is>
          <t>기타 직물제품 제조업</t>
        </is>
      </c>
      <c r="F149" s="68" t="inlineStr">
        <is>
          <t>◦수건</t>
        </is>
      </c>
      <c r="G149" s="90" t="n">
        <v>94</v>
      </c>
      <c r="H149" s="90" t="n">
        <v>0</v>
      </c>
      <c r="I149" s="90" t="n">
        <v>12.5</v>
      </c>
    </row>
    <row r="150" ht="17.25" customHeight="1" s="66">
      <c r="A150" s="65" t="inlineStr">
        <is>
          <t>172200</t>
        </is>
      </c>
      <c r="B150" s="68" t="inlineStr">
        <is>
          <t>제조업</t>
        </is>
      </c>
      <c r="C150" s="68" t="inlineStr">
        <is>
          <t>섬유제품 제조업: 의복 제외</t>
        </is>
      </c>
      <c r="D150" s="68" t="inlineStr">
        <is>
          <t>카펫, 마루덮개 및 유사 제품 제조업</t>
        </is>
      </c>
      <c r="E150" s="68" t="inlineStr">
        <is>
          <t>카펫, 마루덮개 및 유사 제품 제조업</t>
        </is>
      </c>
      <c r="F150" s="68" t="inlineStr">
        <is>
          <t>◦각종 방직용 섬유 또는 섬유사로 직조, 편조 또는 기타 방법으로 가공하여 카펫, 융단, 마루덮개 및 유사제품을 생산하는 산업활동을 말한다.
&lt;예 시&gt;
·마루덮개 제조
·카펫 제조
·양탄자류 제조
·융단 제조
&lt;제 외&gt;
·직물을 재단·재봉한 방석 및 방석커버 제조(172101)
·방직용 이외의 조물재료로 엮은 매트류(깔개) 제조(202906)
·섬유제 마루덮개가 아닌 경우 사용된 주재료의 종류에 따라 분류
·리놀륨 및 경표면 바닥덮개 제조(369908)</t>
        </is>
      </c>
      <c r="G150" s="90" t="n">
        <v>91.8</v>
      </c>
      <c r="H150" s="90" t="n">
        <v>0</v>
      </c>
      <c r="I150" s="90" t="n">
        <v>9.800000000000001</v>
      </c>
    </row>
    <row r="151" ht="17.25" customHeight="1" s="66">
      <c r="A151" s="65" t="inlineStr">
        <is>
          <t>172300</t>
        </is>
      </c>
      <c r="B151" s="68" t="inlineStr">
        <is>
          <t>제조업</t>
        </is>
      </c>
      <c r="C151" s="68" t="inlineStr">
        <is>
          <t>섬유제품 제조업: 의복 제외</t>
        </is>
      </c>
      <c r="D151" s="68" t="inlineStr">
        <is>
          <t>끈, 로프, 망 및 끈 가공품 제조업</t>
        </is>
      </c>
      <c r="E151" s="68" t="inlineStr">
        <is>
          <t>어망 및 기타 끈 가공품 제조업</t>
        </is>
      </c>
      <c r="F151" s="68" t="inlineStr">
        <is>
          <t>◦섬유제의 끈, 로프 및 케이블로 망지, 어망, 망제품 및 끈 가공 제품을 제조하는 산업활동을 말한다. 이러한 제품에는 금속 링 및 기타 부착물이 결합될 수 있다.
&lt;예 시&gt;
·로프 가공품 제조
·물품 운반용 망제품 제조
·줄사다리 제조     
·끈으로 만든 걸레 제조
&lt;제 외&gt;
·신발끈 제조(172109)
·망직물을 재단·재봉하여 머리망(헤어네트) 제조(181204)
·경기용 네트(369301) 및 낚시용 고기망 제조(369306)</t>
        </is>
      </c>
      <c r="G151" s="90" t="n">
        <v>91.5</v>
      </c>
      <c r="H151" s="90" t="n">
        <v>0</v>
      </c>
      <c r="I151" s="90" t="n">
        <v>6.9</v>
      </c>
    </row>
    <row r="152" ht="17.25" customHeight="1" s="66">
      <c r="A152" s="65" t="inlineStr">
        <is>
          <t>172301</t>
        </is>
      </c>
      <c r="B152" s="68" t="inlineStr">
        <is>
          <t>제조업</t>
        </is>
      </c>
      <c r="C152" s="68" t="inlineStr">
        <is>
          <t>섬유제품 제조업: 의복 제외</t>
        </is>
      </c>
      <c r="D152" s="68" t="inlineStr">
        <is>
          <t>끈, 로프, 망 및 끈 가공품 제조업</t>
        </is>
      </c>
      <c r="E152" s="68" t="inlineStr">
        <is>
          <t>끈 및 로프 제조업</t>
        </is>
      </c>
      <c r="F152" s="68" t="inlineStr">
        <is>
          <t>◦각종 섬유 물질로 끈, 로프 및 케이블을 제조하는 산업활동을 말한다.
&lt;예 시&gt;
·로프 제조
·밧줄 제조
&lt;제 외&gt;
·금속사 제조(172904)
·신발끈 제조(172109)</t>
        </is>
      </c>
      <c r="G152" s="90" t="n">
        <v>91.5</v>
      </c>
      <c r="H152" s="90" t="n">
        <v>0</v>
      </c>
      <c r="I152" s="90" t="n">
        <v>9.6</v>
      </c>
    </row>
    <row r="153" ht="17.25" customHeight="1" s="66">
      <c r="A153" s="65" t="inlineStr">
        <is>
          <t>172901</t>
        </is>
      </c>
      <c r="B153" s="68" t="inlineStr">
        <is>
          <t>제조업</t>
        </is>
      </c>
      <c r="C153" s="68" t="inlineStr">
        <is>
          <t>섬유제품 제조업: 의복 제외</t>
        </is>
      </c>
      <c r="D153" s="68" t="inlineStr">
        <is>
          <t>그 외 기타 섬유제품 제조업</t>
        </is>
      </c>
      <c r="E153" s="68" t="inlineStr">
        <is>
          <t>세폭직물 제조업</t>
        </is>
      </c>
      <c r="F153" s="68" t="inlineStr">
        <is>
          <t>◦각종 방직용 섬유로 폭이 30cm 미만의 각종 세폭직물, 라벨, 배지 및 유사 직물을 직조하거나 경사만을 접착제로 접합시켜 만든 세폭직물을 제조하는 산업활동을 말한다.
&lt;예 시&gt;
·탄성 세폭직물 직조
·섬유제 직조 라벨 제조
&lt;제 외&gt;
·특정형의 레이스제품 편조(172902)
·자수제의 라벨·배지 제조(172102)
·원단, 스트립 및 모티브상의 레이스 제조(172902)</t>
        </is>
      </c>
      <c r="G153" s="90" t="n">
        <v>93.90000000000001</v>
      </c>
      <c r="H153" s="90" t="n">
        <v>0</v>
      </c>
      <c r="I153" s="90" t="n">
        <v>9.199999999999999</v>
      </c>
    </row>
    <row r="154" ht="17.25" customHeight="1" s="66">
      <c r="A154" s="65" t="inlineStr">
        <is>
          <t>172902</t>
        </is>
      </c>
      <c r="B154" s="68" t="inlineStr">
        <is>
          <t>제조업</t>
        </is>
      </c>
      <c r="C154" s="68" t="inlineStr">
        <is>
          <t>섬유제품 제조업: 의복 제외</t>
        </is>
      </c>
      <c r="D154" s="68" t="inlineStr">
        <is>
          <t>그 외 기타 섬유제품 제조업</t>
        </is>
      </c>
      <c r="E154" s="68" t="inlineStr">
        <is>
          <t>그 외 기타 분류 안된 섬유제품 제조업</t>
        </is>
      </c>
      <c r="F154" s="68" t="inlineStr">
        <is>
          <t>◦위생수건(타월), 유아용 기저귀, 탐폰 및 유사 위생용 섬유제품을 제조하거나 직조, 편조 또는 엮어서 기계용, 공업용 또는 장식용 섬유제품을 제조하는 산업활동을 말한다. 각종 섬유물질로 이불, 베개, 의자, 침대 등에 넣는 충전물, 솜털 및 기타 충전용 재료를 생산하는 산업활동을 포함한다. 이러한 제품은 금속 또는 기타 물질로 보강된 것인지 여부를 불문한다.
&lt;예 시&gt;
·유아용 냅킨 제조(섬유제)
·위생용 섬유 충전제품 제조
·베일용 그물 제조
·블레이드 제조
·제면활동
·방울술(리본) 제조
·전동용 벨트 제조
·여과포 제조
·제지용 직물 및 펠트 제조
·섬유 분말 제조
·빗질 및 정리제품 생산
·섬유제 호스 제조
·충전솜을 넣어 누빈 섬유제품(원단상) 제조
·테이블 린넨 제조(편조물)
·레이스 제품(편조물)
·장식포 및 장식용 섬유제품
&lt;제 외&gt;
·패딩 또는 조합하여 누비거나 겹붙인 섬유제품 제조(172905)
·섬유제 마스크 제조(172109)
·섬유제 외과용 밴드, 약솜(탈지면) 및 의료용 섬유제품 제조(242309)
·구입한 편조원단을 재단·재봉하여 의복을 제조(173001)
*그 외 기타 섬유제품 제조 임가공(→193001)</t>
        </is>
      </c>
      <c r="G154" s="90" t="n">
        <v>94.3</v>
      </c>
      <c r="H154" s="90" t="n">
        <v>0</v>
      </c>
      <c r="I154" s="90" t="n">
        <v>7.5</v>
      </c>
    </row>
    <row r="155" ht="17.25" customHeight="1" s="66">
      <c r="A155" s="65" t="inlineStr">
        <is>
          <t>172903</t>
        </is>
      </c>
      <c r="B155" s="68" t="inlineStr">
        <is>
          <t>제조업</t>
        </is>
      </c>
      <c r="C155" s="68" t="inlineStr">
        <is>
          <t>섬유제품 제조업: 의복 제외</t>
        </is>
      </c>
      <c r="D155" s="68" t="inlineStr">
        <is>
          <t>그 외 기타 섬유제품 제조업</t>
        </is>
      </c>
      <c r="E155" s="68" t="inlineStr">
        <is>
          <t>부직포 및 펠트 제조업</t>
        </is>
      </c>
      <c r="F155" s="68" t="inlineStr">
        <is>
          <t>◦직조 또는 편조하지 않고 각종 섬유에 접착 물질을 침투◦도포◦피복◦적층 또는 기타 방법으로 처리하여 부직포 및 펠트를 생산하는 산업활동을 말한다. 이러한 제품은 종이 등을 보조재로 사용하거나 고무 또는 플라스틱 물질 등의 각종 접착제를 사용할 수 있으나 접착 물질이 주성분이 아니어야 한다.
&lt;제 외&gt;
·접착제로 접합한 세폭직물 제조(172901)</t>
        </is>
      </c>
      <c r="G155" s="90" t="n">
        <v>93.2</v>
      </c>
      <c r="H155" s="90" t="n">
        <v>0</v>
      </c>
      <c r="I155" s="90" t="n">
        <v>13.9</v>
      </c>
    </row>
    <row r="156" ht="17.25" customHeight="1" s="66">
      <c r="A156" s="65" t="inlineStr">
        <is>
          <t>172904</t>
        </is>
      </c>
      <c r="B156" s="68" t="inlineStr">
        <is>
          <t>제조업</t>
        </is>
      </c>
      <c r="C156" s="68" t="inlineStr">
        <is>
          <t>섬유제품 제조업: 의복 제외</t>
        </is>
      </c>
      <c r="D156" s="68" t="inlineStr">
        <is>
          <t>그 외 기타 섬유제품 제조업</t>
        </is>
      </c>
      <c r="E156" s="68" t="inlineStr">
        <is>
          <t>특수사 및 코드직물 제조업</t>
        </is>
      </c>
      <c r="F156" s="68" t="inlineStr">
        <is>
          <t>◦각종 특수사 및 고무 가연(假撚) 코드(이합연사 두 올을 합연한 것), 고무 또는 플라스틱이 도포◦침지◦피복된 섬유사 및 스트립, 타이어코드 직물 등 코드직물 등을 제조하는 산업활동을 말한다.
&lt;예 시&gt;
·고무 합연사 제조
·금속 드리사(metallised yarn)제조
·김프사(gimp) 제조
·셔니일사(chenille yarn) 제조        
·금속 가연사 제조
·루프웨일사(loop wale yarn) 제조           
·타이어코드 직물 제조</t>
        </is>
      </c>
      <c r="G156" s="90" t="n">
        <v>94.3</v>
      </c>
      <c r="H156" s="90" t="n">
        <v>0</v>
      </c>
      <c r="I156" s="90" t="n">
        <v>10.3</v>
      </c>
    </row>
    <row r="157" ht="17.25" customHeight="1" s="66">
      <c r="A157" s="65" t="inlineStr">
        <is>
          <t>172905</t>
        </is>
      </c>
      <c r="B157" s="68" t="inlineStr">
        <is>
          <t>제조업</t>
        </is>
      </c>
      <c r="C157" s="68" t="inlineStr">
        <is>
          <t>섬유제품 제조업: 의복 제외</t>
        </is>
      </c>
      <c r="D157" s="68" t="inlineStr">
        <is>
          <t>그 외 기타 섬유제품 제조업</t>
        </is>
      </c>
      <c r="E157" s="68" t="inlineStr">
        <is>
          <t>표면처리 및 적층 직물 제조업</t>
        </is>
      </c>
      <c r="F157" s="68" t="inlineStr">
        <is>
          <t>◦구입한 직물에 검, 전분질, 천연 수지, 플라스틱, 기름, 아교, 셀룰로오스 유도체, 규산염, 섬유 부스러기, 왁스, 역청 물질, 유리 가루, 운모 등을 도포◦삼투 또는 피복하여 표면 처리한 직물을 제조하거나 접합제, 가열 접착, 바느질 및 기타 방법으로 두 겹 이상의 직물을 접합시켜 원단 형태의 접합◦도포 및 적층 직물을 제조하는 산업활동을 말한다.
&lt;예 시&gt;
·투사포(tracing cloth) 제조
·유포(oil cloth) 제조
·접착 섬유테이프 제조
·경화 가공된 방직용 직물 제조
·캔버스(canvas), 버크럼(buckram) 제조
·타포린(tarpaulin) 직물 제조
·보강용 적층 및 도포 직물 제조
&lt;제 외&gt;
·광폭직물 직조활동에 연관된 접착물질의 도포·침투 및 적층 활동(해당 산업활동으로 분류)
·각종 재료를 도포·적층한 직물로 의복 및 가방 이외의 기타 직물제품 제조(172109)
·섬유를 보강 재료로 하고 고무를 주재료로 한 고무제품 제조(해당 산업활동으로 분류)
·섬유를 보강재로 하고 플라스틱을 주재료로 한 플라스틱제품 제조(해당 산업활동으로 분류)
·경표면 마루덮개 제조(369908)</t>
        </is>
      </c>
      <c r="G157" s="90" t="n">
        <v>94.3</v>
      </c>
      <c r="H157" s="90" t="n">
        <v>0</v>
      </c>
      <c r="I157" s="90" t="n">
        <v>10.3</v>
      </c>
    </row>
    <row r="158" ht="17.25" customHeight="1" s="66">
      <c r="A158" s="65" t="inlineStr">
        <is>
          <t>173001</t>
        </is>
      </c>
      <c r="B158" s="68" t="inlineStr">
        <is>
          <t>제조업</t>
        </is>
      </c>
      <c r="C158" s="68" t="inlineStr">
        <is>
          <t>의복, 의복 액세서리 및 모피제품 제조업</t>
        </is>
      </c>
      <c r="D158" s="68" t="inlineStr">
        <is>
          <t>편조의복 제조업</t>
        </is>
      </c>
      <c r="E158" s="68" t="inlineStr">
        <is>
          <t>편조의복 제조업</t>
        </is>
      </c>
      <c r="F158" s="68" t="inlineStr">
        <is>
          <t>◦각종 섬유로 남녀 및 유아용의 겉옷, 속옷 및 기타 의복을 편조하는 산업활동을 말한다.
&lt;예 시&gt;
·저지 편조
·스웨터 편조
·카디건 편조
·풀오버 편조
·티셔츠 편조
·조끼 편조
·태환기로 편직한 위편직물
&lt;제 외&gt;
·구입한 편조 원단이나 직물을 재단하고 봉제 및 접합하여 내의, 잠옷, 드레스, 셔츠, 브래지어, 거들 및 기타 의복을 제조하는 경우(해당 산업활동으로 분류)</t>
        </is>
      </c>
      <c r="G158" s="90" t="n">
        <v>93.7</v>
      </c>
      <c r="H158" s="90" t="n">
        <v>0</v>
      </c>
      <c r="I158" s="90" t="n">
        <v>12.9</v>
      </c>
    </row>
    <row r="159" ht="17.25" customHeight="1" s="66">
      <c r="A159" s="65" t="inlineStr">
        <is>
          <t>173002</t>
        </is>
      </c>
      <c r="B159" s="68" t="inlineStr">
        <is>
          <t>제조업</t>
        </is>
      </c>
      <c r="C159" s="68" t="inlineStr">
        <is>
          <t>섬유제품 제조업: 의복 제외</t>
        </is>
      </c>
      <c r="D159" s="68" t="inlineStr">
        <is>
          <t>편조 원단 제조업</t>
        </is>
      </c>
      <c r="E159" s="68" t="inlineStr">
        <is>
          <t>편조 원단 제조업</t>
        </is>
      </c>
      <c r="F159" s="68" t="inlineStr">
        <is>
          <t xml:space="preserve">◦각종 섬유를 환편, 경편, 횡편 및 평편 등의 각종 기계적 방법으로 편조하거나 또는 수작업으로 뜨개질 하여 의복용 및 기타 용도의 광폭(폭 30cm 이상) 편조 원단을 제조하는 산업활동을 말한다.
&lt;예 시&gt;
·메리야스 원단 제조
·편조 원단 제조
&lt;제 외&gt;
·원단, 스트립 및 모티브상의 레이스 편조(172902)
*섬유 편조 뜨개질 임가공(→193001)
</t>
        </is>
      </c>
      <c r="G159" s="90" t="n">
        <v>94.3</v>
      </c>
      <c r="H159" s="90" t="n">
        <v>0</v>
      </c>
      <c r="I159" s="90" t="n">
        <v>6.8</v>
      </c>
    </row>
    <row r="160" ht="17.25" customHeight="1" s="66">
      <c r="A160" s="65" t="inlineStr">
        <is>
          <t>173004</t>
        </is>
      </c>
      <c r="B160" s="68" t="inlineStr">
        <is>
          <t>제조업</t>
        </is>
      </c>
      <c r="C160" s="68" t="inlineStr">
        <is>
          <t>의복, 의복 액세서리 및 모피제품 제조업</t>
        </is>
      </c>
      <c r="D160" s="68" t="inlineStr">
        <is>
          <t>편조 의복 액세서리 제조업</t>
        </is>
      </c>
      <c r="E160" s="68" t="inlineStr">
        <is>
          <t>스타킹 및 기타양말 제조업</t>
        </is>
      </c>
      <c r="F160" s="68" t="inlineStr">
        <is>
          <t>◦각종 섬유로 남녀용 및 유아용의 각종 스타킹 및 기타 양말을 편조하는 산업활동을 말한다.
&lt;예 시&gt;
·팬티호즈 편조
·타이츠 편조</t>
        </is>
      </c>
      <c r="G160" s="90" t="n">
        <v>94.59999999999999</v>
      </c>
      <c r="H160" s="90" t="n">
        <v>0</v>
      </c>
      <c r="I160" s="90" t="n">
        <v>8.6</v>
      </c>
    </row>
    <row r="161" ht="17.25" customHeight="1" s="66">
      <c r="A161" s="65" t="inlineStr">
        <is>
          <t>173006</t>
        </is>
      </c>
      <c r="B161" s="68" t="inlineStr">
        <is>
          <t>제조업</t>
        </is>
      </c>
      <c r="C161" s="68" t="inlineStr">
        <is>
          <t>의복, 의복 액세서리 및 모피제품 제조업</t>
        </is>
      </c>
      <c r="D161" s="68" t="inlineStr">
        <is>
          <t>편조 의복 액세서리 제조업</t>
        </is>
      </c>
      <c r="E161" s="68" t="inlineStr">
        <is>
          <t>기타 편조 의복 액세서리 제조업</t>
        </is>
      </c>
      <c r="F161" s="68" t="inlineStr">
        <is>
          <t>◦장갑 편조
&lt;예 시&gt;
·면장갑 등 편직제품</t>
        </is>
      </c>
      <c r="G161" s="90" t="n">
        <v>94.3</v>
      </c>
      <c r="H161" s="90" t="n">
        <v>0</v>
      </c>
      <c r="I161" s="90" t="n">
        <v>3</v>
      </c>
    </row>
    <row r="162" ht="17.25" customHeight="1" s="66">
      <c r="A162" s="65" t="inlineStr">
        <is>
          <t>173009</t>
        </is>
      </c>
      <c r="B162" s="68" t="inlineStr">
        <is>
          <t>제조업</t>
        </is>
      </c>
      <c r="C162" s="68" t="inlineStr">
        <is>
          <t>의복, 의복 액세서리 및 모피제품 제조업</t>
        </is>
      </c>
      <c r="D162" s="68" t="inlineStr">
        <is>
          <t>편조 의복 액세서리 제조업</t>
        </is>
      </c>
      <c r="E162" s="68" t="inlineStr">
        <is>
          <t>기타 편조 의복 액세서리 제조업</t>
        </is>
      </c>
      <c r="F162" s="68" t="inlineStr">
        <is>
          <t>◦탄성사, 고무사 및 기타 섬유사로 기타 의복 액세서리를 편조하는 산업활동을 말한다.
&lt;예 시&gt;
·모자 편조
·숄, 스카프, 머플러 편조
·의류 부속품 편조     
·만틸라 편조
·레이스 제품 편조(특정제품)
·탄성 편조물 제조     
·베일 편조
·넥타이류 편조
&lt;제 외&gt;
·편조 원단을 편조 이외의 방법(재봉, 접합 등)으로 의복액세서리를 제조하는 산업활동(181204,181202)
·원단, 스트립 및 모티브상의 레이스 제품 제조(172902)
＊장갑 편조(→173006)</t>
        </is>
      </c>
      <c r="G162" s="90" t="n">
        <v>93.2</v>
      </c>
      <c r="H162" s="90" t="n">
        <v>0</v>
      </c>
      <c r="I162" s="90" t="n">
        <v>10.1</v>
      </c>
    </row>
    <row r="163" ht="17.25" customHeight="1" s="66">
      <c r="A163" s="65" t="inlineStr">
        <is>
          <t>181101</t>
        </is>
      </c>
      <c r="B163" s="68" t="inlineStr">
        <is>
          <t>제조업</t>
        </is>
      </c>
      <c r="C163" s="68" t="inlineStr">
        <is>
          <t>의복, 의복 액세서리 및 모피제품 제조업</t>
        </is>
      </c>
      <c r="D163" s="68" t="inlineStr">
        <is>
          <t>겉옷 제조업</t>
        </is>
      </c>
      <c r="E163" s="68" t="inlineStr">
        <is>
          <t>남자용 겉옷 제조업</t>
        </is>
      </c>
      <c r="F163" s="68" t="inlineStr">
        <is>
          <t>◦직물을 재단◦재봉하여 일상, 사무 또는 공식행사에서 입는 남자용 정장, 코트, 예복, 재킷(jacket), 파카, 슈트, 바지 등의 겉옷(외의)을 개인맞춤 제조하는 산업활동을 말한다.
&lt;예 시&gt;
·재킷, 파카, 점퍼, 슈트 제조
·신사복 정장 제조
·남자용 코트류 제조
·연미복, 턱시도 등 예복 제조
·남자용 바지 제조
·평상복 남자 외의
&lt;제 외&gt;   
 ·한복 제조(181209)
*기성 제조(→181205)</t>
        </is>
      </c>
      <c r="G163" s="90" t="n">
        <v>90.40000000000001</v>
      </c>
      <c r="H163" s="90" t="n">
        <v>0</v>
      </c>
      <c r="I163" s="90" t="n">
        <v>9.6</v>
      </c>
    </row>
    <row r="164" ht="17.25" customHeight="1" s="66">
      <c r="A164" s="65" t="inlineStr">
        <is>
          <t>181103</t>
        </is>
      </c>
      <c r="B164" s="68" t="inlineStr">
        <is>
          <t>제조업</t>
        </is>
      </c>
      <c r="C164" s="68" t="inlineStr">
        <is>
          <t>의복, 의복 액세서리 및 모피제품 제조업</t>
        </is>
      </c>
      <c r="D164" s="68" t="inlineStr">
        <is>
          <t>한복 제조업</t>
        </is>
      </c>
      <c r="E164" s="68" t="inlineStr">
        <is>
          <t>한복 제조업</t>
        </is>
      </c>
      <c r="F164" s="68" t="inlineStr">
        <is>
          <t>◦남녀 또는 노소를 불문하고 전통적 또는 민속적인 의상과 한복을 개인맞춤이 아닌 기성 제조하는 산업활동을 말한다.
&lt;예 시&gt;
·한복 제조
·전통 민속복 제조
·개량 한복 제조
*개인맞춤 제조(→181209)</t>
        </is>
      </c>
      <c r="G164" s="90" t="n">
        <v>93.7</v>
      </c>
      <c r="H164" s="90" t="n">
        <v>0</v>
      </c>
      <c r="I164" s="90" t="n">
        <v>10.5</v>
      </c>
    </row>
    <row r="165" ht="17.25" customHeight="1" s="66">
      <c r="A165" s="65" t="inlineStr">
        <is>
          <t>181105</t>
        </is>
      </c>
      <c r="B165" s="68" t="inlineStr">
        <is>
          <t>제조업</t>
        </is>
      </c>
      <c r="C165" s="68" t="inlineStr">
        <is>
          <t>의복, 의복 액세서리 및 모피제품 제조업</t>
        </is>
      </c>
      <c r="D165" s="68" t="inlineStr">
        <is>
          <t>겉옷 제조업</t>
        </is>
      </c>
      <c r="E165" s="68" t="inlineStr">
        <is>
          <t>여자용 겉옷 제조업</t>
        </is>
      </c>
      <c r="F165" s="68" t="inlineStr">
        <is>
          <t>◦직물을 재단◦재봉하여 일상, 사무 또는 공식행사에서 입는 여자용 정장, 코트, 예복, 재킷(jacket), 파카, 슈트, 바지 등의 겉옷(외의)을 개인맞춤 제조하는 산업활동을 말한다.
&lt;예 시&gt;
·웨딩드레스, 디너드레스, 이브닝 드레스, 애프터눈 드레스 등 예복 제조     
·원피스, 스커트 제조
·여자용 코트류, 바지류 제조
·재킷, 파카, 점퍼, 슈트 제조
&lt;제 외&gt;
 ·한복 제조(181209)
*기성 제조(→181206)</t>
        </is>
      </c>
      <c r="G165" s="90" t="n">
        <v>90.40000000000001</v>
      </c>
      <c r="H165" s="90" t="n">
        <v>0</v>
      </c>
      <c r="I165" s="90" t="n">
        <v>5.5</v>
      </c>
    </row>
    <row r="166" ht="17.25" customHeight="1" s="66">
      <c r="A166" s="65" t="inlineStr">
        <is>
          <t>181109</t>
        </is>
      </c>
      <c r="B166" s="68" t="inlineStr">
        <is>
          <t>제조업</t>
        </is>
      </c>
      <c r="C166" s="68" t="inlineStr">
        <is>
          <t>의복, 의복 액세서리 및 모피제품 제조업</t>
        </is>
      </c>
      <c r="D166" s="68" t="inlineStr">
        <is>
          <t>기타 봉제의복 제조업</t>
        </is>
      </c>
      <c r="E166" s="68" t="inlineStr">
        <is>
          <t>셔츠 및 블라우스 제조업</t>
        </is>
      </c>
      <c r="F166" s="68" t="inlineStr">
        <is>
          <t>◦남녀용 각종 셔츠(와이셔츠, 티셔츠 등), 블라우스를 제조하는 산업활동을 말한다. 가죽 및 모피 의복은 제외하나 가죽 또는 모피로 장식한 것은 포함한다.
&lt;예 시&gt;
·블라우스 제조
·와이셔츠, 티셔츠 제조</t>
        </is>
      </c>
      <c r="G166" s="90" t="n">
        <v>91.5</v>
      </c>
      <c r="H166" s="90" t="n">
        <v>0</v>
      </c>
      <c r="I166" s="90" t="n">
        <v>10.7</v>
      </c>
    </row>
    <row r="167" ht="17.25" customHeight="1" s="66">
      <c r="A167" s="65" t="inlineStr">
        <is>
          <t>181110</t>
        </is>
      </c>
      <c r="B167" s="68" t="inlineStr">
        <is>
          <t>제조업</t>
        </is>
      </c>
      <c r="C167" s="68" t="inlineStr">
        <is>
          <t>의복, 의복 액세서리 및 모피제품 제조업</t>
        </is>
      </c>
      <c r="D167" s="68" t="inlineStr">
        <is>
          <t>기타 봉제의복 제조업</t>
        </is>
      </c>
      <c r="E167" s="68" t="inlineStr">
        <is>
          <t>근무복, 작업복 및 유사 의복 제조업</t>
        </is>
      </c>
      <c r="F167" s="68" t="inlineStr">
        <is>
          <t>◦체육복, 수영복 및 경기복, 방수코트</t>
        </is>
      </c>
      <c r="G167" s="90" t="n">
        <v>91.5</v>
      </c>
      <c r="H167" s="90" t="n">
        <v>0</v>
      </c>
      <c r="I167" s="90" t="n">
        <v>4.4</v>
      </c>
    </row>
    <row r="168" ht="17.25" customHeight="1" s="66">
      <c r="A168" s="65" t="inlineStr">
        <is>
          <t>181201</t>
        </is>
      </c>
      <c r="B168" s="68" t="inlineStr">
        <is>
          <t>제조업</t>
        </is>
      </c>
      <c r="C168" s="68" t="inlineStr">
        <is>
          <t>의복, 의복 액세서리 및 모피제품 제조업</t>
        </is>
      </c>
      <c r="D168" s="68" t="inlineStr">
        <is>
          <t>기타 봉제의복 제조업</t>
        </is>
      </c>
      <c r="E168" s="68" t="inlineStr">
        <is>
          <t>가죽의복 제조업</t>
        </is>
      </c>
      <c r="F168" s="68" t="inlineStr">
        <is>
          <t>◦천연 및 재생 가죽이나 플라스틱제 합성가죽 및 직물제 인조가죽으로 가죽의복을 제조하는 산업활동을 말한다.
&lt;예 시&gt;
·가죽의복 제조(천연·인조·재생·합성 가죽제)
&lt;제 외&gt;
·가죽제 모자, 장갑 및 기타 의복 액세서리 제조(181202, 181204)</t>
        </is>
      </c>
      <c r="G168" s="90" t="n">
        <v>93.5</v>
      </c>
      <c r="H168" s="90" t="n">
        <v>0</v>
      </c>
      <c r="I168" s="90" t="n">
        <v>8.800000000000001</v>
      </c>
    </row>
    <row r="169" ht="17.25" customHeight="1" s="66">
      <c r="A169" s="65" t="inlineStr">
        <is>
          <t>181202</t>
        </is>
      </c>
      <c r="B169" s="68" t="inlineStr">
        <is>
          <t>제조업</t>
        </is>
      </c>
      <c r="C169" s="68" t="inlineStr">
        <is>
          <t>의복, 의복 액세서리 및 모피제품 제조업</t>
        </is>
      </c>
      <c r="D169" s="68" t="inlineStr">
        <is>
          <t>기타 의복 액세서리 제조업</t>
        </is>
      </c>
      <c r="E169" s="68" t="inlineStr">
        <is>
          <t>모자 제조업</t>
        </is>
      </c>
      <c r="F169" s="68" t="inlineStr">
        <is>
          <t>◦가죽, 모피, 직물 등을 재단하고 재봉, 접합 및 기타의 방법으로 가공하여 모자를 제조하는 산업활동을 말한다. 일반용의 가죽 보호모자 제조도 포함한다.
&lt;예 시&gt;
·모자 제조
·모자 부분품 제조
&lt;제 외&gt;
·편조 모자 제조(173009)
·조물재료를 엮어서 모자를 제조하는 경우(202907)
·고무모자 제조(251904)
·플라스틱제 모자 제조(252909)
·철모 제조(281101)
·운동 경기용 보호모자 제조(369302)</t>
        </is>
      </c>
      <c r="G169" s="90" t="n">
        <v>94</v>
      </c>
      <c r="H169" s="90" t="n">
        <v>0</v>
      </c>
      <c r="I169" s="90" t="n">
        <v>8.6</v>
      </c>
    </row>
    <row r="170" ht="17.25" customHeight="1" s="66">
      <c r="A170" s="65" t="inlineStr">
        <is>
          <t>181203</t>
        </is>
      </c>
      <c r="B170" s="68" t="inlineStr">
        <is>
          <t>제조업</t>
        </is>
      </c>
      <c r="C170" s="68" t="inlineStr">
        <is>
          <t>의복, 의복 액세서리 및 모피제품 제조업</t>
        </is>
      </c>
      <c r="D170" s="68" t="inlineStr">
        <is>
          <t>속옷 및 잠옷 제조업</t>
        </is>
      </c>
      <c r="E170" s="68" t="inlineStr">
        <is>
          <t>속옷 및 잠옷 제조업</t>
        </is>
      </c>
      <c r="F170" s="68" t="inlineStr">
        <is>
          <t>◦직물 또는 편조 원단을 재단◦재봉하거나 직물과 편조물을 결합하여 남녀용 속옷, 잠옷 및 관련 의복을 제조하는 산업활동을 말한다.
&lt;예 시&gt;
·슬립 제조
·브래지어 제조
·코르셋 제조
·거들 제조</t>
        </is>
      </c>
      <c r="G170" s="90" t="n">
        <v>94.40000000000001</v>
      </c>
      <c r="H170" s="90" t="n">
        <v>0</v>
      </c>
      <c r="I170" s="90" t="n">
        <v>8.9</v>
      </c>
    </row>
    <row r="171" ht="17.25" customHeight="1" s="66">
      <c r="A171" s="65" t="inlineStr">
        <is>
          <t>181204</t>
        </is>
      </c>
      <c r="B171" s="68" t="inlineStr">
        <is>
          <t>제조업</t>
        </is>
      </c>
      <c r="C171" s="68" t="inlineStr">
        <is>
          <t>의복, 의복 액세서리 및 모피제품 제조업</t>
        </is>
      </c>
      <c r="D171" s="68" t="inlineStr">
        <is>
          <t>기타 의복 액세서리 제조업</t>
        </is>
      </c>
      <c r="E171" s="68" t="inlineStr">
        <is>
          <t>그 외 기타 의복 액세서리 제조업</t>
        </is>
      </c>
      <c r="F171" s="68" t="inlineStr">
        <is>
          <t>◦가죽, 모피, 직물 등을 재단하고 재봉, 접합 및 기타의 방법으로 남◦녀용 장갑을 제조하거나 기타 의복 액세서리를 제조하는 산업활동을 말한다.
&lt;예 시&gt;
·장갑 제조
·손수건 제조
·스카프 및 숄 제조
·혁대 및 복대 제조
·만틸라 제조
·넥타이 제조
·모피(천연, 인조)제 액세서리 제조
&lt;제 외&gt;
·편조장갑 제조(173006)
·골프 및 권투용 글러브 제조(369302)</t>
        </is>
      </c>
      <c r="G171" s="90" t="n">
        <v>93.8</v>
      </c>
      <c r="H171" s="90" t="n">
        <v>0</v>
      </c>
      <c r="I171" s="90" t="n">
        <v>8.199999999999999</v>
      </c>
    </row>
    <row r="172" ht="17.25" customHeight="1" s="66">
      <c r="A172" s="65" t="inlineStr">
        <is>
          <t>181205</t>
        </is>
      </c>
      <c r="B172" s="68" t="inlineStr">
        <is>
          <t>제조업</t>
        </is>
      </c>
      <c r="C172" s="68" t="inlineStr">
        <is>
          <t>의복, 의복 액세서리 및 모피제품 제조업</t>
        </is>
      </c>
      <c r="D172" s="68" t="inlineStr">
        <is>
          <t>겉옷 제조업</t>
        </is>
      </c>
      <c r="E172" s="68" t="inlineStr">
        <is>
          <t>남자용 겉옷 제조업</t>
        </is>
      </c>
      <c r="F172" s="68" t="inlineStr">
        <is>
          <t>◦직물을 재단◦재봉하여 일상, 사무 또는 공식행사에서 입는 남자용 정장, 코트, 예복, 재킷(jacket), 파카, 슈트, 바지 등의 겉옷(외의)을 개인맞춤이 아닌 기성 제조하는 산업활동을 말한다.
&lt;예 시&gt;
·재킷, 파카, 점퍼, 슈트 제조
·신사복 정장 제조
·남자용 코트류 제조
·연미복, 턱시도 등 예복 제조
·남자용 바지 제조
·평상복 남자 외의
&lt;제 외&gt;
·셔츠, 블라우스(181109) 및 체육복 제조(181110)
·한복 제조(181103)
*개인맞춤 제조(→181101)</t>
        </is>
      </c>
      <c r="G172" s="90" t="n">
        <v>93.5</v>
      </c>
      <c r="H172" s="90" t="n">
        <v>0</v>
      </c>
      <c r="I172" s="90" t="n">
        <v>6.3</v>
      </c>
    </row>
    <row r="173" ht="17.25" customHeight="1" s="66">
      <c r="A173" s="65" t="inlineStr">
        <is>
          <t>181206</t>
        </is>
      </c>
      <c r="B173" s="68" t="inlineStr">
        <is>
          <t>제조업</t>
        </is>
      </c>
      <c r="C173" s="68" t="inlineStr">
        <is>
          <t>의복, 의복 액세서리 및 모피제품 제조업</t>
        </is>
      </c>
      <c r="D173" s="68" t="inlineStr">
        <is>
          <t>겉옷 제조업</t>
        </is>
      </c>
      <c r="E173" s="68" t="inlineStr">
        <is>
          <t>여자용 겉옷 제조업</t>
        </is>
      </c>
      <c r="F173" s="68" t="inlineStr">
        <is>
          <t>◦직물을 재단◦재봉하여 일상, 사무 또는 공식행사에서 입는 여자용 정장, 코트, 예복, 재킷(jacket), 파카, 슈트, 바지 등의 겉옷(외의)을 개인맞춤이 아닌 기성 제조하는 산업활동을 말한다.
&lt;예 시&gt;
·웨딩드레스, 디너드레스, 이브닝 드레스, 애프터눈 드레스 등 예복 제조     
·원피스, 스커트 제조
·여자용 코트류, 바지류 제조
·재킷, 파카, 점퍼, 슈트 제조
&lt;제 외&gt;
·셔츠, 블라우스(181109) 및 체육복 제조(181110)
·한복 제조(181103)
*개인맞춤 제조(→181105)</t>
        </is>
      </c>
      <c r="G173" s="90" t="n">
        <v>93.5</v>
      </c>
      <c r="H173" s="90" t="n">
        <v>0</v>
      </c>
      <c r="I173" s="90" t="n">
        <v>11.1</v>
      </c>
    </row>
    <row r="174" ht="17.25" customHeight="1" s="66">
      <c r="A174" s="65" t="inlineStr">
        <is>
          <t>181207</t>
        </is>
      </c>
      <c r="B174" s="68" t="inlineStr">
        <is>
          <t>제조업</t>
        </is>
      </c>
      <c r="C174" s="68" t="inlineStr">
        <is>
          <t>의복, 의복 액세서리 및 모피제품 제조업</t>
        </is>
      </c>
      <c r="D174" s="68" t="inlineStr">
        <is>
          <t>기타 봉제의복 제조업</t>
        </is>
      </c>
      <c r="E174" s="68" t="inlineStr">
        <is>
          <t>근무복, 작업복 및 유사 의복 제조업</t>
        </is>
      </c>
      <c r="F174" s="68" t="inlineStr">
        <is>
          <t>◦근무복, 작업복, 교복, 제복 등 단체복 및 유사 의복류를 제조하는 산업활동을 말한다. 가죽 및 모피 의복은 제외하나 가죽 또는 모피로 장식한 것은 포함한다. 일반용으로 사용 가능한 겉옷, 셔츠류 등은 제외한다.
&lt;예 시&gt;
·근무복, 작업복 제조
&lt;제 외&gt;
*체육복, 수영복 및 경기복 제조(→181110)</t>
        </is>
      </c>
      <c r="G174" s="90" t="n">
        <v>93.5</v>
      </c>
      <c r="H174" s="90" t="n">
        <v>0</v>
      </c>
      <c r="I174" s="90" t="n">
        <v>5.9</v>
      </c>
    </row>
    <row r="175" ht="17.25" customHeight="1" s="66">
      <c r="A175" s="65" t="inlineStr">
        <is>
          <t>181208</t>
        </is>
      </c>
      <c r="B175" s="68" t="inlineStr">
        <is>
          <t>제조업</t>
        </is>
      </c>
      <c r="C175" s="68" t="inlineStr">
        <is>
          <t>의복, 의복 액세서리 및 모피제품 제조업</t>
        </is>
      </c>
      <c r="D175" s="68" t="inlineStr">
        <is>
          <t>기타 봉제의복 제조업</t>
        </is>
      </c>
      <c r="E175" s="68" t="inlineStr">
        <is>
          <t>유아용 의복 제조업</t>
        </is>
      </c>
      <c r="F175" s="68" t="inlineStr">
        <is>
          <t>◦원단을 재단◦재봉하여 유아용 의복 및 의복 액세서리를 제조하는 산업활동을 말한다.
&lt;예 시&gt;
·유아용 의복 제조
·유아용 의복 액세서리 제조</t>
        </is>
      </c>
      <c r="G175" s="90" t="n">
        <v>93.5</v>
      </c>
      <c r="H175" s="90" t="n">
        <v>0</v>
      </c>
      <c r="I175" s="90" t="n">
        <v>7.7</v>
      </c>
    </row>
    <row r="176" ht="17.25" customHeight="1" s="66">
      <c r="A176" s="65" t="inlineStr">
        <is>
          <t>181209</t>
        </is>
      </c>
      <c r="B176" s="68" t="inlineStr">
        <is>
          <t>제조업</t>
        </is>
      </c>
      <c r="C176" s="68" t="inlineStr">
        <is>
          <t>의복, 의복 액세서리 및 모피제품 제조업</t>
        </is>
      </c>
      <c r="D176" s="68" t="inlineStr">
        <is>
          <t>한복 제조업</t>
        </is>
      </c>
      <c r="E176" s="68" t="inlineStr">
        <is>
          <t>한복 제조업</t>
        </is>
      </c>
      <c r="F176" s="68" t="inlineStr">
        <is>
          <t>◦남녀 또는 노소를 불문하고 전통적 또는 민속적인 의상과 한복을 개인맞춤 제조하는 산업활동을 말한다.
&lt;예 시&gt;
·한복 제조
·전통 민속복 제조
·개량 한복 제조
*기성 제조(→181103)</t>
        </is>
      </c>
      <c r="G176" s="90" t="n">
        <v>93.8</v>
      </c>
      <c r="H176" s="90" t="n">
        <v>0</v>
      </c>
      <c r="I176" s="90" t="n">
        <v>11</v>
      </c>
    </row>
    <row r="177" ht="17.25" customHeight="1" s="66">
      <c r="A177" s="65" t="inlineStr">
        <is>
          <t>181211</t>
        </is>
      </c>
      <c r="B177" s="68" t="inlineStr">
        <is>
          <t>제조업</t>
        </is>
      </c>
      <c r="C177" s="68" t="inlineStr">
        <is>
          <t>의복, 의복 액세서리 및 모피제품 제조업</t>
        </is>
      </c>
      <c r="D177" s="68" t="inlineStr">
        <is>
          <t>기타 봉제의복 제조업</t>
        </is>
      </c>
      <c r="E177" s="68" t="inlineStr">
        <is>
          <t>그 외 기타 봉제의복 제조업</t>
        </is>
      </c>
      <c r="F177" s="68" t="inlineStr">
        <is>
          <t>◦특수 의복 및 의복 부분품을 제조하는 산업활동을 말한다.
&lt;예 시&gt;
·잠수복 제조
·우의 및 방수복 제조
·방사선 예방 보호복 제조
·의류 부분품 제조
·특수환자용 의복 제조
·가운류(종교 의식복, 학사복 등) 제조</t>
        </is>
      </c>
      <c r="G177" s="90" t="n">
        <v>93.8</v>
      </c>
      <c r="H177" s="90" t="n">
        <v>0</v>
      </c>
      <c r="I177" s="90" t="n">
        <v>10.4</v>
      </c>
    </row>
    <row r="178" ht="17.25" customHeight="1" s="66">
      <c r="A178" s="65" t="inlineStr">
        <is>
          <t>182001</t>
        </is>
      </c>
      <c r="B178" s="68" t="inlineStr">
        <is>
          <t>제조업</t>
        </is>
      </c>
      <c r="C178" s="68" t="inlineStr">
        <is>
          <t>의복, 의복 액세서리 및 모피제품 제조업</t>
        </is>
      </c>
      <c r="D178" s="68" t="inlineStr">
        <is>
          <t>모피제품 제조업</t>
        </is>
      </c>
      <c r="E178" s="68" t="inlineStr">
        <is>
          <t>모피제품 제조업</t>
        </is>
      </c>
      <c r="F178" s="68" t="inlineStr">
        <is>
          <t>◦천연모피 및 인조모피로 의복(모자 제외) 및 기타 모피제품을 제조하는 산업활동을 말한다.
&lt;예 시&gt;
·모피 이불 제조
·가정용 모피제품 제조
·머리 달린 가공 원피제품 제조
·천연 모피조각 조립품 제조(매트, 스트립 등)
·모피 덮개 제조
·모피 깔개 제조
·모피 매트 제조
&lt;제 외&gt;
·모피 모자, 장갑 및 부분품 제조(181202, 181204)
·모조 모피 편조원단 제조(173002)
·모조 모피 직조원단 제조(171116)</t>
        </is>
      </c>
      <c r="G178" s="90" t="n">
        <v>89.2</v>
      </c>
      <c r="H178" s="90" t="n">
        <v>0</v>
      </c>
      <c r="I178" s="90" t="n">
        <v>9.1</v>
      </c>
    </row>
    <row r="179" ht="17.25" customHeight="1" s="66">
      <c r="A179" s="65" t="inlineStr">
        <is>
          <t>191100</t>
        </is>
      </c>
      <c r="B179" s="68" t="inlineStr">
        <is>
          <t>제조업</t>
        </is>
      </c>
      <c r="C179" s="68" t="inlineStr">
        <is>
          <t>가죽, 가방 및 신발 제조업</t>
        </is>
      </c>
      <c r="D179" s="68" t="inlineStr">
        <is>
          <t>모피 및 가죽 제조업</t>
        </is>
      </c>
      <c r="E179" s="68" t="inlineStr">
        <is>
          <t>모피 및 가죽 제조업</t>
        </is>
      </c>
      <c r="F179" s="68" t="inlineStr">
        <is>
          <t>◦각종 짐승, 파충류, 아가미 동물 등의 원피 및 원모피를 다듬질, 표백, 무두질, 끝손질, 돋음 새김질 및 윤내기, 염색처리 등을 하여 각종 천연가죽, 천연모피 및 펠트를 생산하거나 천연가죽의 조각 및 부스러기를 처리하여 재생가죽을 생산하는 산업활동을 말한다. 인조 합성가죽을 생산하는 산업활동도 포함한다. 천연 및 재생가죽을 특수 표면 가공하여 특수 가공가죽을 제조하는 산업활동과 머리 부분이 달린 원피 처리활동과 가죽 등 각종 재료에 인조모 또는 천연모를 접합시켜 인조모피를 제조하는 산업활동도 포함한다.
&lt;예 시&gt;
·가죽 유연 처리
·가죽 염색 및 가공 처리
·금속처리 가죽 제조
·섀무 가죽 제조
·양피지(파치먼트, parchment) 가죽 제조
·페이턴트(patent leather) 가죽 제조
·인조모피 제조
·원모피 처리
·모피 가공
·전신 원피 처리(머리 달린)
·원모피 무두질 처리
·원모피 표백(염색 처리)
&lt;제 외&gt;
·가죽의복 제조(181201)</t>
        </is>
      </c>
      <c r="G179" s="90" t="n">
        <v>92.2</v>
      </c>
      <c r="H179" s="90" t="n">
        <v>0</v>
      </c>
      <c r="I179" s="90" t="n">
        <v>7.1</v>
      </c>
    </row>
    <row r="180" ht="17.25" customHeight="1" s="66">
      <c r="A180" s="65" t="inlineStr">
        <is>
          <t>191200</t>
        </is>
      </c>
      <c r="B180" s="68" t="inlineStr">
        <is>
          <t>제조업</t>
        </is>
      </c>
      <c r="C180" s="68" t="inlineStr">
        <is>
          <t>가죽, 가방 및 신발 제조업</t>
        </is>
      </c>
      <c r="D180" s="68" t="inlineStr">
        <is>
          <t>핸드백, 가방 및 기타 보호용 케이스 제조업</t>
        </is>
      </c>
      <c r="E180" s="68" t="inlineStr">
        <is>
          <t>가방 및 기타 보호용 케이스 제조업</t>
        </is>
      </c>
      <c r="F180" s="68" t="inlineStr">
        <is>
          <t>◦가방, 각종 기구 및 용품의 보호용 케이스를 제조하는 산업활동을 말한다. 이러한 제품은 목재 또는 금속 등의 보강재료를 사용할 수도 있다.
&lt;예 시&gt;
·트렁크 제조
·등산용 배낭류 제조
·공구백 제조     
·안경 케이스 제조
·사진기 케이스 제조
·악기 케이스 제조
&lt;제 외&gt;
·개인 휴대용품용 지갑류 및 유사 케이스 제조(191202)</t>
        </is>
      </c>
      <c r="G180" s="90" t="n">
        <v>93.40000000000001</v>
      </c>
      <c r="H180" s="90" t="n">
        <v>0</v>
      </c>
      <c r="I180" s="90" t="n">
        <v>10.2</v>
      </c>
    </row>
    <row r="181" ht="17.25" customHeight="1" s="66">
      <c r="A181" s="65" t="inlineStr">
        <is>
          <t>191201</t>
        </is>
      </c>
      <c r="B181" s="68" t="inlineStr">
        <is>
          <t>제조업</t>
        </is>
      </c>
      <c r="C181" s="68" t="inlineStr">
        <is>
          <t>가죽, 가방 및 신발 제조업</t>
        </is>
      </c>
      <c r="D181" s="68" t="inlineStr">
        <is>
          <t>기타 가죽제품 제조업</t>
        </is>
      </c>
      <c r="E181" s="68" t="inlineStr">
        <is>
          <t>기타 가죽제품 제조업</t>
        </is>
      </c>
      <c r="F181" s="68" t="inlineStr">
        <is>
          <t>◦천연가죽, 재생가죽, 합성가죽, 인조가죽으로 만든 산업용 가죽제품, 마구류 및 기타 가죽제품을 제조하는 산업활동을 말한다.
&lt;예 시&gt;
·기계용 가죽제품 제조
·가죽 시곗줄 제조
·가죽 격막 제조
·말채찍 제조
·가죽 호스 제조
·장선 제조
&lt;제 외&gt;
·소독한 수술용 장선 제조(242309)
·금속제 시곗줄 제조(333000)
·나무제 마구류 제조(202905)</t>
        </is>
      </c>
      <c r="G181" s="90" t="n">
        <v>93.40000000000001</v>
      </c>
      <c r="H181" s="90" t="n">
        <v>0</v>
      </c>
      <c r="I181" s="90" t="n">
        <v>7.9</v>
      </c>
    </row>
    <row r="182" ht="17.25" customHeight="1" s="66">
      <c r="A182" s="65" t="inlineStr">
        <is>
          <t>191202</t>
        </is>
      </c>
      <c r="B182" s="68" t="inlineStr">
        <is>
          <t>제조업</t>
        </is>
      </c>
      <c r="C182" s="68" t="inlineStr">
        <is>
          <t>가죽, 가방 및 신발 제조업</t>
        </is>
      </c>
      <c r="D182" s="68" t="inlineStr">
        <is>
          <t>핸드백, 가방 및 기타 보호용 케이스 제조업</t>
        </is>
      </c>
      <c r="E182" s="68" t="inlineStr">
        <is>
          <t>핸드백 및 지갑 제조업</t>
        </is>
      </c>
      <c r="F182" s="68" t="inlineStr">
        <is>
          <t>◦각종 재료로 여성용 핸드백 및 남녀용 지갑을 제조하는 산업활동을 말한다. 지갑 및 유사 케이스는 통상적으로 호주머니 및 핸드백에 넣고 다닐 수 있는 개인 휴대용품용 지갑류를 말한다.
&lt;예 시&gt;
·핸드백 제조
·지갑 제조</t>
        </is>
      </c>
      <c r="G182" s="90" t="n">
        <v>93.40000000000001</v>
      </c>
      <c r="H182" s="90" t="n">
        <v>0</v>
      </c>
      <c r="I182" s="90" t="n">
        <v>10.6</v>
      </c>
    </row>
    <row r="183" ht="17.25" customHeight="1" s="66">
      <c r="A183" s="65" t="inlineStr">
        <is>
          <t>192001</t>
        </is>
      </c>
      <c r="B183" s="68" t="inlineStr">
        <is>
          <t>제조업</t>
        </is>
      </c>
      <c r="C183" s="68" t="inlineStr">
        <is>
          <t>가죽, 가방 및 신발 제조업</t>
        </is>
      </c>
      <c r="D183" s="68" t="inlineStr">
        <is>
          <t>신발 제조업</t>
        </is>
      </c>
      <c r="E183" s="68" t="inlineStr">
        <is>
          <t>구두류 제조업</t>
        </is>
      </c>
      <c r="F183" s="68" t="inlineStr">
        <is>
          <t>◦가죽, 합성가죽, 고무 또는 플라스틱 등으로 만든 신발 밑창에 천연가죽, 재생가죽, 합성가죽, 인조가죽으로 만든 봉제 가죽 갑피를 재봉 또는 기타 방법으로 결합시켜 가죽 구두를 제조하는 산업활동을 말한다. 가죽제 캐주얼화, 부츠 등의 제조도 포함한다.
&lt;예 시&gt;
·캐주얼화(가죽제) 제조
·가죽 구두 제조
&lt;제 외&gt;
·경기화 및 특수용 신발 제조(192004)</t>
        </is>
      </c>
      <c r="G183" s="90" t="n">
        <v>93.5</v>
      </c>
      <c r="H183" s="90" t="n">
        <v>0</v>
      </c>
      <c r="I183" s="90" t="n">
        <v>10.7</v>
      </c>
    </row>
    <row r="184" ht="17.25" customHeight="1" s="66">
      <c r="A184" s="65" t="inlineStr">
        <is>
          <t>192004</t>
        </is>
      </c>
      <c r="B184" s="68" t="inlineStr">
        <is>
          <t>제조업</t>
        </is>
      </c>
      <c r="C184" s="68" t="inlineStr">
        <is>
          <t>가죽, 가방 및 신발 제조업</t>
        </is>
      </c>
      <c r="D184" s="68" t="inlineStr">
        <is>
          <t>신발 제조업</t>
        </is>
      </c>
      <c r="E184" s="68" t="inlineStr">
        <is>
          <t>기타 신발 제조업</t>
        </is>
      </c>
      <c r="F184" s="68" t="inlineStr">
        <is>
          <t>◦구두류를 제외한 운동용 신발, 특수용 신발, 경기용 신발 및 방수용 신발, 각종 재료제의 가정용 슬리퍼, 각반 및 발이나 다리의 일부 또는 전체를 싸도록 만들어진 기타 제품(양말 제외)을 제조하는 산업활동을 말한다.
&lt;예 시&gt;
·경기용 신발 제조
·운동화 제조
·나무 및 고무 신발 제조     
·플라스틱 신발 제조
·발레용 신발 제조
·각반 제조      
·짚신 제조
·특수 목적용 신발 제조
·종이 신발 제조
&lt;제 외&gt;
·신발용 부분품(재단품) 제조(192005)</t>
        </is>
      </c>
      <c r="G184" s="90" t="n">
        <v>93.5</v>
      </c>
      <c r="H184" s="90" t="n">
        <v>0</v>
      </c>
      <c r="I184" s="90" t="n">
        <v>5.8</v>
      </c>
    </row>
    <row r="185" ht="17.25" customHeight="1" s="66">
      <c r="A185" s="65" t="inlineStr">
        <is>
          <t>192005</t>
        </is>
      </c>
      <c r="B185" s="68" t="inlineStr">
        <is>
          <t>제조업</t>
        </is>
      </c>
      <c r="C185" s="68" t="inlineStr">
        <is>
          <t>가죽, 가방 및 신발 제조업</t>
        </is>
      </c>
      <c r="D185" s="68" t="inlineStr">
        <is>
          <t>신발 부분품 제조업</t>
        </is>
      </c>
      <c r="E185" s="68" t="inlineStr">
        <is>
          <t>신발 부분품 제조업</t>
        </is>
      </c>
      <c r="F185" s="68" t="inlineStr">
        <is>
          <t>◦각종 재료로 신발 제조용 재단제품 및 부속품을 제조하는 산업활동을 말한다. 고무 또는 플라스틱을 성형하여 신발 부분품을 제조하는 경우도 포함한다.
&lt;예 시&gt;
·신발 갑피 제조
·뒷굽 제조(신발용)
·안창 제조(신발용)    
·바깥바닥 제조(신발용)</t>
        </is>
      </c>
      <c r="G185" s="90" t="n">
        <v>93.5</v>
      </c>
      <c r="H185" s="90" t="n">
        <v>0</v>
      </c>
      <c r="I185" s="90" t="n">
        <v>4.5</v>
      </c>
    </row>
    <row r="186" ht="17.25" customHeight="1" s="66">
      <c r="A186" s="65" t="inlineStr">
        <is>
          <t>193001</t>
        </is>
      </c>
      <c r="B186" s="68" t="inlineStr">
        <is>
          <t>제조업</t>
        </is>
      </c>
      <c r="C186" s="68" t="inlineStr">
        <is>
          <t>섬유제품 제조업: 의복 제외</t>
        </is>
      </c>
      <c r="D186" s="68" t="inlineStr">
        <is>
          <t>방적 및 가공사 제조업, 직물 직조업, 직물제품 제조업, 편조 원단 제조업, 섬유제품 염색, 정리 및 마무리 가공업,그 외 기타 섬유제품 제조업</t>
        </is>
      </c>
      <c r="E186" s="68" t="inlineStr">
        <is>
          <t>연사 및 가공사 제조업, 특수직물 및 기타 직물 직조업, 자수제품 및 자수용 재료 제조업, 편조 원단 제조업, 섬유제품 기타 정리 및 마무리 가공업, 그 외 기타 분류 안된 섬유제품 제조업</t>
        </is>
      </c>
      <c r="F186" s="68" t="inlineStr">
        <is>
          <t>◦임가공
&lt;예 시&gt;
·실감기 임가공                             ·기타 직물 직조 임가공
·직물 자수 임가공                          ·섬유 편조 뜨개질 임가공
·의복 액세서리 정리 및 마무리 임가공       
·그 외 기타 섬유제품 제조 임가공</t>
        </is>
      </c>
      <c r="G186" s="90" t="n">
        <v>93.8</v>
      </c>
      <c r="H186" s="90" t="n">
        <v>0</v>
      </c>
      <c r="I186" s="90" t="n">
        <v>10.1</v>
      </c>
    </row>
    <row r="187" ht="17.25" customHeight="1" s="66">
      <c r="A187" s="65" t="inlineStr">
        <is>
          <t>193009</t>
        </is>
      </c>
      <c r="B187" s="68" t="inlineStr">
        <is>
          <t>제조업</t>
        </is>
      </c>
      <c r="C187" s="68" t="inlineStr">
        <is>
          <t>섬유제품 제조업: 의복 제외</t>
        </is>
      </c>
      <c r="D187" s="68" t="inlineStr">
        <is>
          <t>섬유제품 염색, 정리 및 마무리 가공업</t>
        </is>
      </c>
      <c r="E187" s="68" t="inlineStr">
        <is>
          <t>솜 및 실 염색 가공업, 직물, 편조 원단 및 의복류 염색 가공업, 날염 가공업</t>
        </is>
      </c>
      <c r="F187" s="68" t="inlineStr">
        <is>
          <t>◦임가공
&lt;예 시&gt;
·솜, 실 염색 임가공
·직물, 편물 원단 염색 임가공
·날염 임가공</t>
        </is>
      </c>
      <c r="G187" s="90" t="n">
        <v>91.09999999999999</v>
      </c>
      <c r="H187" s="90" t="n">
        <v>0</v>
      </c>
      <c r="I187" s="90" t="n">
        <v>12.2</v>
      </c>
    </row>
    <row r="188" ht="17.25" customHeight="1" s="66">
      <c r="A188" s="65" t="inlineStr">
        <is>
          <t>201001</t>
        </is>
      </c>
      <c r="B188" s="68" t="inlineStr">
        <is>
          <t>제조업</t>
        </is>
      </c>
      <c r="C188" s="68" t="inlineStr">
        <is>
          <t>목재 및 나무제품 제조업: 가구 제외</t>
        </is>
      </c>
      <c r="D188" s="68" t="inlineStr">
        <is>
          <t>제재 및 목재 가공업</t>
        </is>
      </c>
      <c r="E188" s="68" t="inlineStr">
        <is>
          <t>일반 제재업</t>
        </is>
      </c>
      <c r="F188" s="68" t="inlineStr">
        <is>
          <t>◦원목을 제재하거나 또는 제재목을 다시 제재하여 판재, 각재, 소할(小割, resawn)재 등 거친 상태의 각종 일반용 목재 제재품을 생산하는 산업활동을 말한다.
&lt;예 시&gt;
·각재 생산
·일반 제재목 생산</t>
        </is>
      </c>
      <c r="G188" s="90" t="n">
        <v>92</v>
      </c>
      <c r="H188" s="90" t="n">
        <v>0</v>
      </c>
      <c r="I188" s="90" t="n">
        <v>7.4</v>
      </c>
    </row>
    <row r="189" ht="17.25" customHeight="1" s="66">
      <c r="A189" s="65" t="inlineStr">
        <is>
          <t>201002</t>
        </is>
      </c>
      <c r="B189" s="68" t="inlineStr">
        <is>
          <t>제조업</t>
        </is>
      </c>
      <c r="C189" s="68" t="inlineStr">
        <is>
          <t>목재 및 나무제품 제조업: 가구 제외</t>
        </is>
      </c>
      <c r="D189" s="68" t="inlineStr">
        <is>
          <t>제재 및 목재 가공업</t>
        </is>
      </c>
      <c r="E189" s="68" t="inlineStr">
        <is>
          <t>목재 보존, 방부처리, 도장 및 유사 처리업</t>
        </is>
      </c>
      <c r="F189" s="68" t="inlineStr">
        <is>
          <t>◦자영 또는 임가공 방식으로 목재에 방부제 또는 기타 물질을 도포◦피복◦적층◦침적하거나 화학처리하여 화장목재, 방부처리 또는 보존 약품처리 목재를 생산하는 산업활동을 말한다.
&lt;예 시&gt;
·도장(착색) 목재 생산
·화장 목재 제조
·약품처리 목재 생산   
·표면처리 목재 생산
&lt;제 외&gt;
·강화 및 재생목재 제조(202101)</t>
        </is>
      </c>
      <c r="G189" s="90" t="n">
        <v>87.7</v>
      </c>
      <c r="H189" s="90" t="n">
        <v>0</v>
      </c>
      <c r="I189" s="90" t="n">
        <v>9.6</v>
      </c>
    </row>
    <row r="190" ht="17.25" customHeight="1" s="66">
      <c r="A190" s="65" t="inlineStr">
        <is>
          <t>201009</t>
        </is>
      </c>
      <c r="B190" s="68" t="inlineStr">
        <is>
          <t>제조업</t>
        </is>
      </c>
      <c r="C190" s="68" t="inlineStr">
        <is>
          <t>목재 및 나무제품 제조업: 가구 제외</t>
        </is>
      </c>
      <c r="D190" s="68" t="inlineStr">
        <is>
          <t>제재 및 목재 가공업</t>
        </is>
      </c>
      <c r="E190" s="68" t="inlineStr">
        <is>
          <t>표면 가공목재 및 특정 목적용 제재목 제조업</t>
        </is>
      </c>
      <c r="F190" s="68" t="inlineStr">
        <is>
          <t>◦각종 원목 또는 제재목을 대패질, 표면 세공, 무늬 새김, 모서리 가공 및 기타 표면 가공하여 표면 가공목재를 생산하는 산업활동과 특정 목적에 적합하도록 원목 또는 제재목을 절단, 분쇄 및 기타 가공하는 산업활동을 말한다.
&lt;예 시&gt;
·표면 새김 가공목재 생산
·견본 목공물 제조
·인발재 제조
·목모, 목분 및 목재칩 제조
·침목 생산(방부처리 안된) 
·나무 조각판 제조(마루판 조립용)
&lt;제 외&gt;
·일반제재목 생산(201001)
·목재 표면 도포처리 및 방부처리 제품 제조(201002)</t>
        </is>
      </c>
      <c r="G190" s="90" t="n">
        <v>90.40000000000001</v>
      </c>
      <c r="H190" s="90" t="n">
        <v>0</v>
      </c>
      <c r="I190" s="90" t="n">
        <v>10.2</v>
      </c>
    </row>
    <row r="191" ht="17.25" customHeight="1" s="66">
      <c r="A191" s="65" t="inlineStr">
        <is>
          <t>202101</t>
        </is>
      </c>
      <c r="B191" s="68" t="inlineStr">
        <is>
          <t>제조업</t>
        </is>
      </c>
      <c r="C191" s="68" t="inlineStr">
        <is>
          <t>목재 및 나무제품 제조업: 가구 제외</t>
        </is>
      </c>
      <c r="D191" s="68" t="inlineStr">
        <is>
          <t>박판, 합판 및 강화 목제품 제조업</t>
        </is>
      </c>
      <c r="E191" s="68" t="inlineStr">
        <is>
          <t>강화 및 재생 목재 제조업</t>
        </is>
      </c>
      <c r="F191" s="68" t="inlineStr">
        <is>
          <t>◦목재를 화학적 또는 물리적으로 처리하여 목재의 밀도, 경도 및 기계적 강도나 화학적◦전기적 저항성이 높은 강화목재를 생산하는 산업활동을 말한다. 나뭇조각, 부스러기, 톱밥, 쌀겨 등 목질 물질을 응집시켜 판, 블록 및 기타 형태의 재생 목재를 생산하는 경우도 포함한다.
&lt;예 시&gt;
·고밀도화 목재 제조
·파이버보드 제조
·파티클보드 제조
·칩보드 제조
&lt;제 외&gt;
·단판이 부착된 재생 목재판 제조(202102)</t>
        </is>
      </c>
      <c r="G191" s="90" t="n">
        <v>89.5</v>
      </c>
      <c r="H191" s="90" t="n">
        <v>0</v>
      </c>
      <c r="I191" s="90" t="n">
        <v>10.5</v>
      </c>
    </row>
    <row r="192" ht="17.25" customHeight="1" s="66">
      <c r="A192" s="65" t="inlineStr">
        <is>
          <t>202102</t>
        </is>
      </c>
      <c r="B192" s="68" t="inlineStr">
        <is>
          <t>제조업</t>
        </is>
      </c>
      <c r="C192" s="68" t="inlineStr">
        <is>
          <t>목재 및 나무제품 제조업: 가구 제외</t>
        </is>
      </c>
      <c r="D192" s="68" t="inlineStr">
        <is>
          <t>박판, 합판 및 강화 목제품 제조업</t>
        </is>
      </c>
      <c r="E192" s="68" t="inlineStr">
        <is>
          <t>박판, 합판 및 유사 적층판 제조업</t>
        </is>
      </c>
      <c r="F192" s="68" t="inlineStr">
        <is>
          <t>◦각종 용도의 박판을 제조하거나, 박판 또는 합판에 나무 블록, 작은 널판 등을 접착하여 합판 및 기타 유사 적층판을 제조하는 산업활동을 말한다. 이러한 제품은 연관적으로 착색◦도포 및 침적되거나 종이 또는 직물 등을 접착하여 보강될 수 있다.
&lt;예 시&gt;
·무늬목박판 제조
·나무도시락 및 성냥갑제조용 박판 제조
·합판제조용 박판
·합판용 단판 제조
·블록 보드 제조
·배튼 보드 제조
·베니어 패널 제조
&lt;제 외&gt;
·제재한 판재, 각재 제조(201001)
·목재 표면에 방부제 및 기타 물질을 도포 처리한 방부처리 목재, 화장목재, 표면처리 가공목재 생산(201002)
·칩보드, 파이버보드 및 기타 강화 또는 재생목재 제조(202101)
·건축용 셀룰라우드 패널 및 유사 적층목재 제조(202200)</t>
        </is>
      </c>
      <c r="G192" s="90" t="n">
        <v>92.8</v>
      </c>
      <c r="H192" s="90" t="n">
        <v>0</v>
      </c>
      <c r="I192" s="90" t="n">
        <v>9.6</v>
      </c>
    </row>
    <row r="193" ht="17.25" customHeight="1" s="66">
      <c r="A193" s="65" t="inlineStr">
        <is>
          <t>202200</t>
        </is>
      </c>
      <c r="B193" s="68" t="inlineStr">
        <is>
          <t>제조업</t>
        </is>
      </c>
      <c r="C193" s="68" t="inlineStr">
        <is>
          <t>목재 및 나무제품 제조업: 가구 제외</t>
        </is>
      </c>
      <c r="D193" s="68" t="inlineStr">
        <is>
          <t>건축용 나무제품 제조업</t>
        </is>
      </c>
      <c r="E193" s="68" t="inlineStr">
        <is>
          <t>기타 건축용 나무제품 제조업</t>
        </is>
      </c>
      <c r="F193" s="68" t="inlineStr">
        <is>
          <t>◦목재 문을 제외한 각종 건축용 목제품 또는 목공품을 생산하는 산업활동을 말한다. 목재를 주재료로 하는 조립식 건물 및 이들의 부분품을 제조하거나 셀룰라우드 패널 및 유사 목재 패널을 제조하는 산업활동도 포함한다.
&lt;예 시&gt;
·셀룰라우드 패널 제조
·적층 목제품 제조(구조용)
·파케이 패널 제조
·지붕용 패널 제조</t>
        </is>
      </c>
      <c r="G193" s="90" t="n">
        <v>91.59999999999999</v>
      </c>
      <c r="H193" s="90" t="n">
        <v>0</v>
      </c>
      <c r="I193" s="90" t="n">
        <v>9.6</v>
      </c>
    </row>
    <row r="194" ht="17.25" customHeight="1" s="66">
      <c r="A194" s="65" t="inlineStr">
        <is>
          <t>202201</t>
        </is>
      </c>
      <c r="B194" s="68" t="inlineStr">
        <is>
          <t>제조업</t>
        </is>
      </c>
      <c r="C194" s="68" t="inlineStr">
        <is>
          <t>목재 및 나무제품 제조업: 가구 제외</t>
        </is>
      </c>
      <c r="D194" s="68" t="inlineStr">
        <is>
          <t>목재 상자, 드럼 및 적재판 제조업</t>
        </is>
      </c>
      <c r="E194" s="68" t="inlineStr">
        <is>
          <t>목재 포장용 상자, 드럼 및 유사 용기 제조업</t>
        </is>
      </c>
      <c r="F194" s="68" t="inlineStr">
        <is>
          <t>◦제재목, 합판, 단판 및 박판 등을 사용하여 화물이나 상품의 운반 및 포장용 절목 상자, 통, 상자, 권선용 드럼, 동물 수송용 우리 등을 제조하는 산업활동을 말한다. 이들은 금속, 종이 등으로 보강될 수 있으며 돌쩌귀, 손잡이, 파스너, 다리 등이 부착될 수도 있다.
&lt;예 시&gt;
·목재 배럴(barrel) 제조
·목재 케이블 드럼(cable drum) 제조
·목재 케이스 제조
·목재 텁(tub) 및 유사 용기 제조
·목재 통 제조
·목재 상자 제조
&lt;제 외&gt;
·목재 보석상자 제조(202904)</t>
        </is>
      </c>
      <c r="G194" s="90" t="n">
        <v>92.09999999999999</v>
      </c>
      <c r="H194" s="90" t="n">
        <v>0</v>
      </c>
      <c r="I194" s="90" t="n">
        <v>9.6</v>
      </c>
    </row>
    <row r="195" ht="17.25" customHeight="1" s="66">
      <c r="A195" s="65" t="inlineStr">
        <is>
          <t>202202</t>
        </is>
      </c>
      <c r="B195" s="68" t="inlineStr">
        <is>
          <t>제조업</t>
        </is>
      </c>
      <c r="C195" s="68" t="inlineStr">
        <is>
          <t>목재 및 나무제품 제조업: 가구 제외</t>
        </is>
      </c>
      <c r="D195" s="68" t="inlineStr">
        <is>
          <t>건축용 나무제품 제조업</t>
        </is>
      </c>
      <c r="E195" s="68" t="inlineStr">
        <is>
          <t>목재 문 및 관련제품 제조업</t>
        </is>
      </c>
      <c r="F195" s="68" t="inlineStr">
        <is>
          <t>◦건물 및 구축물에 설치되는 각종 목재 문 및 관련제품을 제조하는 산업활동을 말한다.
&lt;예 시&gt;
·목재 창문 제조
·목재 문지방 제조
·목재 문틀 제조</t>
        </is>
      </c>
      <c r="G195" s="90" t="n">
        <v>91.59999999999999</v>
      </c>
      <c r="H195" s="90" t="n">
        <v>0</v>
      </c>
      <c r="I195" s="90" t="n">
        <v>8.300000000000001</v>
      </c>
    </row>
    <row r="196" ht="17.25" customHeight="1" s="66">
      <c r="A196" s="65" t="inlineStr">
        <is>
          <t>202203</t>
        </is>
      </c>
      <c r="B196" s="68" t="inlineStr">
        <is>
          <t>제조업</t>
        </is>
      </c>
      <c r="C196" s="68" t="inlineStr">
        <is>
          <t>목재 및 나무제품 제조업: 가구 제외</t>
        </is>
      </c>
      <c r="D196" s="68" t="inlineStr">
        <is>
          <t>목재 상자, 드럼 및 적재판 제조업</t>
        </is>
      </c>
      <c r="E196" s="68" t="inlineStr">
        <is>
          <t>목재 깔판류 및 기타 적재판 제조업</t>
        </is>
      </c>
      <c r="F196" s="68" t="inlineStr">
        <is>
          <t>◦각종 화물의 선적 및 하역, 운반, 보관 등에 사용되는 이동식 목재 깔판류 및 기타 적재용 판 등의 제조활동을 말한다. 이들 제품은 단층 또는 복층으로 만들어 질 수 있으며, 지지용 다리가 부착되거나 분리 또는 접을 수 있도록 설계된 것도 있다.
&lt;예 시&gt;
·적재용 목재판 제조
·화물용 목재 보드 제조
·화물용 목재 파렛트 제조
·운반용 목재 파렛트 제조</t>
        </is>
      </c>
      <c r="G196" s="90" t="n">
        <v>92.09999999999999</v>
      </c>
      <c r="H196" s="90" t="n">
        <v>0</v>
      </c>
      <c r="I196" s="90" t="n">
        <v>11.9</v>
      </c>
    </row>
    <row r="197" ht="17.25" customHeight="1" s="66">
      <c r="A197" s="65" t="inlineStr">
        <is>
          <t>202901</t>
        </is>
      </c>
      <c r="B197" s="68" t="inlineStr">
        <is>
          <t>제조업</t>
        </is>
      </c>
      <c r="C197" s="68" t="inlineStr">
        <is>
          <t>목재 및 나무제품 제조업: 가구 제외</t>
        </is>
      </c>
      <c r="D197" s="68" t="inlineStr">
        <is>
          <t>기타 나무제품 제조업</t>
        </is>
      </c>
      <c r="E197" s="68" t="inlineStr">
        <is>
          <t>목재 도구 및 주방용 나무제품 제조업</t>
        </is>
      </c>
      <c r="F197" s="68" t="inlineStr">
        <is>
          <t>◦각종 목재 도구 및 기구, 도구용 몸체 및 손잡이 또는 대 등의 각종 도구용 목재 부분품과 주방용 또는 식탁용 기구 및 위생용 목제품을 제조하는 산업활동을 말한다.
&lt;예 시&gt;
·목재 공구 제조
·공구용 몸체 제조
·공구 손잡이 제조     
·브러시 몸체 제조
·밥주걱 제조
·나무젓가락 제조      
·이쑤시개 제조
·나무그릇 제조
·절구통 및 절굿공이 제조                  
·솥뚜껑 제조</t>
        </is>
      </c>
      <c r="G197" s="90" t="n">
        <v>92.40000000000001</v>
      </c>
      <c r="H197" s="90" t="n">
        <v>0</v>
      </c>
      <c r="I197" s="90" t="n">
        <v>9.300000000000001</v>
      </c>
    </row>
    <row r="198" ht="17.25" customHeight="1" s="66">
      <c r="A198" s="65" t="inlineStr">
        <is>
          <t>202902</t>
        </is>
      </c>
      <c r="B198" s="68" t="inlineStr">
        <is>
          <t>제조업</t>
        </is>
      </c>
      <c r="C198" s="68" t="inlineStr">
        <is>
          <t>목재 및 나무제품 제조업: 가구 제외</t>
        </is>
      </c>
      <c r="D198" s="68" t="inlineStr">
        <is>
          <t>기타 나무제품 제조업</t>
        </is>
      </c>
      <c r="E198" s="68" t="inlineStr">
        <is>
          <t>장식용 목제품 제조업</t>
        </is>
      </c>
      <c r="F198" s="68" t="inlineStr">
        <is>
          <t>◦장식용 칠기
&lt;예 시&gt;
·나전칠기제품제조(장식용: 가구제외)</t>
        </is>
      </c>
      <c r="G198" s="90" t="n">
        <v>91</v>
      </c>
      <c r="H198" s="90" t="n">
        <v>0</v>
      </c>
      <c r="I198" s="90" t="n">
        <v>7.5</v>
      </c>
    </row>
    <row r="199" ht="17.25" customHeight="1" s="66">
      <c r="A199" s="65" t="inlineStr">
        <is>
          <t>202903</t>
        </is>
      </c>
      <c r="B199" s="68" t="inlineStr">
        <is>
          <t>제조업</t>
        </is>
      </c>
      <c r="C199" s="68" t="inlineStr">
        <is>
          <t>목재 및 나무제품 제조업: 가구 제외</t>
        </is>
      </c>
      <c r="D199" s="68" t="inlineStr">
        <is>
          <t>코르크 및 조물 제품 제조업</t>
        </is>
      </c>
      <c r="E199" s="68" t="inlineStr">
        <is>
          <t>코르크 및 조물 제품 제조업</t>
        </is>
      </c>
      <c r="F199" s="68" t="inlineStr">
        <is>
          <t>◦죽세공품
&lt;예 시&gt;
·대나무를 소재로 한 발, 매트, 시트, 쿠션, 부채틀</t>
        </is>
      </c>
      <c r="G199" s="90" t="n">
        <v>94.5</v>
      </c>
      <c r="H199" s="90" t="n">
        <v>0</v>
      </c>
      <c r="I199" s="90" t="n">
        <v>10.8</v>
      </c>
    </row>
    <row r="200" ht="17.25" customHeight="1" s="66">
      <c r="A200" s="65" t="inlineStr">
        <is>
          <t>202904</t>
        </is>
      </c>
      <c r="B200" s="68" t="inlineStr">
        <is>
          <t>제조업</t>
        </is>
      </c>
      <c r="C200" s="68" t="inlineStr">
        <is>
          <t>목재 및 나무제품 제조업: 가구 제외</t>
        </is>
      </c>
      <c r="D200" s="68" t="inlineStr">
        <is>
          <t>기타 나무제품 제조업</t>
        </is>
      </c>
      <c r="E200" s="68" t="inlineStr">
        <is>
          <t>장식용 목제품 제조업</t>
        </is>
      </c>
      <c r="F200" s="68" t="inlineStr">
        <is>
          <t>◦장식용 목제 조각품, 장식용 상자, 그림 틀 등의 목재 장식용품을 제조하는 산업활동을 말한다.
&lt;예 시&gt;
·상감 세공 목재 패널 제조
·보석상자 제조
·장식용 목재 칼집(은장도 등) 제조
·목재 거울 틀 제조
·목재 조상 및 장식품 제조
&lt;제 외&gt;
·목재 모조 신변 장신품 제조(369501)
*장식용 칠기(→202902)</t>
        </is>
      </c>
      <c r="G200" s="90" t="n">
        <v>92.40000000000001</v>
      </c>
      <c r="H200" s="90" t="n">
        <v>0</v>
      </c>
      <c r="I200" s="90" t="n">
        <v>13.9</v>
      </c>
    </row>
    <row r="201" ht="17.25" customHeight="1" s="66">
      <c r="A201" s="65" t="inlineStr">
        <is>
          <t>202905</t>
        </is>
      </c>
      <c r="B201" s="68" t="inlineStr">
        <is>
          <t>제조업</t>
        </is>
      </c>
      <c r="C201" s="68" t="inlineStr">
        <is>
          <t>목재 및 나무제품 제조업: 가구 제외</t>
        </is>
      </c>
      <c r="D201" s="68" t="inlineStr">
        <is>
          <t>기타 나무제품 제조업</t>
        </is>
      </c>
      <c r="E201" s="68" t="inlineStr">
        <is>
          <t>그 외 기타 나무제품 제조업</t>
        </is>
      </c>
      <c r="F201" s="68" t="inlineStr">
        <is>
          <t>◦기타 목재용기, 창가리개, 옷걸이(입식 제외), 새집 등 달리 분류되지 않은 나무제품을 제조하는 산업활동을 말한다.
&lt;예 시&gt;
·기구용 목재 케이스 제조
·목재 새장 및 동물 우리 제조
·나무 못 제조
·목재 콥(cop), 릴(reel) 및 유사 제품 제조
·부채 및 핸드 스크린(hand screen) 제조  
·땔감 및 연료용 압축 펠릿(목재, 커피·대두 부산물 등 이용) 제조
·염주 및 관련제품 제조
·목관
&lt;제 외&gt;
·목재 모조 신변 장신품 제조(369501)
·동물 수송용 우리 제조(202201)</t>
        </is>
      </c>
      <c r="G201" s="90" t="n">
        <v>92.40000000000001</v>
      </c>
      <c r="H201" s="90" t="n">
        <v>0</v>
      </c>
      <c r="I201" s="90" t="n">
        <v>7.2</v>
      </c>
    </row>
    <row r="202" ht="17.25" customHeight="1" s="66">
      <c r="A202" s="65" t="inlineStr">
        <is>
          <t>202906</t>
        </is>
      </c>
      <c r="B202" s="68" t="inlineStr">
        <is>
          <t>제조업</t>
        </is>
      </c>
      <c r="C202" s="68" t="inlineStr">
        <is>
          <t>목재 및 나무제품 제조업: 가구 제외</t>
        </is>
      </c>
      <c r="D202" s="68" t="inlineStr">
        <is>
          <t>코르크 및 조물 제품 제조업</t>
        </is>
      </c>
      <c r="E202" s="68" t="inlineStr">
        <is>
          <t>코르크 및 조물 제품 제조업</t>
        </is>
      </c>
      <c r="F202" s="68" t="inlineStr">
        <is>
          <t>◦천연 코르크를 분쇄, 성형 또는 기타 가공하여 분말, 블록, 판, 띠 등의 코르크 제품을 제조하거나 코르크 가루를 응집하여 응집 코르크 및 그 제품을 제조하는 산업활동과 플라스틱 끈을 포함한 각종 조물재료를 조합◦직조 및 기타 방법으로 가공하여 끈 및 스트립(가늘고 긴 조각)상, 판상 제품, 핸드백, 쇼핑백, 용기 및 기타 조물제품을 제조하는 산업활동을 말한다. 조물재료를 특정 용도에 적합하도록 절단하거나 쪼개는 경우도 포함한다.
&lt;예 시&gt;
·천연 코르크 분말 제조
·천연 코르크 제품 제조    
·매트 제조(조물제)
·등 세공품 제조
·수세미 제품 제조
&lt;제 외&gt;
·염주 및 관련제품 제조(202905)
*돗자리, 플라스틱자리, 기타자리제품, 고공품 제조(→202907)
*죽세공품 제조(→202903)</t>
        </is>
      </c>
      <c r="G202" s="90" t="n">
        <v>92.40000000000001</v>
      </c>
      <c r="H202" s="90" t="n">
        <v>0</v>
      </c>
      <c r="I202" s="90" t="n">
        <v>11.4</v>
      </c>
    </row>
    <row r="203" ht="17.25" customHeight="1" s="66">
      <c r="A203" s="65" t="inlineStr">
        <is>
          <t>202907</t>
        </is>
      </c>
      <c r="B203" s="68" t="inlineStr">
        <is>
          <t>제조업</t>
        </is>
      </c>
      <c r="C203" s="68" t="inlineStr">
        <is>
          <t>목재 및 나무제품 제조업: 가구 제외</t>
        </is>
      </c>
      <c r="D203" s="68" t="inlineStr">
        <is>
          <t>코르크 및 조물 제품 제조업</t>
        </is>
      </c>
      <c r="E203" s="68" t="inlineStr">
        <is>
          <t>코르크 및 조물 제품 제조업</t>
        </is>
      </c>
      <c r="F203" s="68" t="inlineStr">
        <is>
          <t>◦돗자리, 플라스틱자리, 기타자리제품, 고공품(가마니, 새끼, 기타고공품)
&lt;예 시&gt;
·끈조립물, 볏짚가공품제조
·밀짚모자</t>
        </is>
      </c>
      <c r="G203" s="90" t="n">
        <v>91</v>
      </c>
      <c r="H203" s="90" t="n">
        <v>0</v>
      </c>
      <c r="I203" s="90" t="n">
        <v>10.5</v>
      </c>
    </row>
    <row r="204" ht="17.25" customHeight="1" s="66">
      <c r="A204" s="65" t="inlineStr">
        <is>
          <t>210101</t>
        </is>
      </c>
      <c r="B204" s="68" t="inlineStr">
        <is>
          <t>제조업</t>
        </is>
      </c>
      <c r="C204" s="68" t="inlineStr">
        <is>
          <t>펄프, 종이 및 종이제품 제조업</t>
        </is>
      </c>
      <c r="D204" s="68" t="inlineStr">
        <is>
          <t>펄프, 종이 및 판지 제조업</t>
        </is>
      </c>
      <c r="E204" s="68" t="inlineStr">
        <is>
          <t>신문용지 제조업</t>
        </is>
      </c>
      <c r="F204" s="68" t="inlineStr">
        <is>
          <t>◦신문 인쇄에 사용되는 신문용지를 제조하는 산업활동을 말한다.</t>
        </is>
      </c>
      <c r="G204" s="90" t="n">
        <v>89.59999999999999</v>
      </c>
      <c r="H204" s="90" t="n">
        <v>0</v>
      </c>
      <c r="I204" s="90" t="n">
        <v>10.7</v>
      </c>
    </row>
    <row r="205" ht="17.25" customHeight="1" s="66">
      <c r="A205" s="65" t="inlineStr">
        <is>
          <t>210102</t>
        </is>
      </c>
      <c r="B205" s="68" t="inlineStr">
        <is>
          <t>제조업</t>
        </is>
      </c>
      <c r="C205" s="68" t="inlineStr">
        <is>
          <t>펄프, 종이 및 종이제품 제조업</t>
        </is>
      </c>
      <c r="D205" s="68" t="inlineStr">
        <is>
          <t>기타 종이 및 판지 제품 제조업</t>
        </is>
      </c>
      <c r="E205" s="68" t="inlineStr">
        <is>
          <t>적층, 합성 및 특수 표면처리 종이 제조업</t>
        </is>
      </c>
      <c r="F205" s="68" t="inlineStr">
        <is>
          <t>◦구입한 원단 상태의 종이 및 판지에 보강재인 종이, 섬유 물질, 금속 망 및 금속 박지 등을 접합하여 적층지 및 합성지를 제조하거나 플라스틱 물질, 물감, 기름 등을 삼투․도포․표면 착색, 표면 장식, 물결 무늬(파형)․주름 가공(축유)․천공 또는 단순 인쇄하여 원단상의 표면가공 종이 및 판지를 제조하는 산업활동을 말한다.
&lt;예 시&gt;
·도포지 및 판지 제조
·금박 합성지 및 판지 제조
·접착지와 판지 제조    
·전기 절연 가공지 제조
·콘덴서용 가공지 제조
·셀프 접착지(self-adhesive) 제조  
·역청 물질을 도포한 종이 및 판지 제조
·카오린(고령토) 또는 기타 무기질을 도포한 종이 및 판지 제조
&lt;제 외&gt;
·골판지 제조(210200)
·가공지 원지를 특정 용도에 맞도록 절단·가공한 종이 및 판지제품 제조(210901,210905)
·벽지 및 장판지 제조(210902)
·사진 감광지 제조(242905)
·종이원지 제조활동에 결합되어 연관적으로 수행되는 가공처리 활동은 원지 제조업으로 분류</t>
        </is>
      </c>
      <c r="G205" s="90" t="n">
        <v>91.3</v>
      </c>
      <c r="H205" s="90" t="n">
        <v>0</v>
      </c>
      <c r="I205" s="90" t="n">
        <v>9.6</v>
      </c>
    </row>
    <row r="206" ht="17.25" customHeight="1" s="66">
      <c r="A206" s="65" t="inlineStr">
        <is>
          <t>210104</t>
        </is>
      </c>
      <c r="B206" s="68" t="inlineStr">
        <is>
          <t>제조업</t>
        </is>
      </c>
      <c r="C206" s="68" t="inlineStr">
        <is>
          <t>펄프, 종이 및 종이제품 제조업</t>
        </is>
      </c>
      <c r="D206" s="68" t="inlineStr">
        <is>
          <t>펄프, 종이 및 판지 제조업</t>
        </is>
      </c>
      <c r="E206" s="68" t="inlineStr">
        <is>
          <t>기타 종이 및 판지 제조업</t>
        </is>
      </c>
      <c r="F206" s="68" t="inlineStr">
        <is>
          <t>◦각종 용도의 원지 및 판지와 순수한 화학 목재 펄프 또는 면섬유로 만든 종이 등을 제조하는 산업활동을 말한다.
&lt;예 시&gt;
·여과지와 판지 제조
·지형 원지 제조
·투사지(트레이싱지) 제조
·펠트지와 판지 제조
·글라신지 원지 제조
·투명 광택지 제조
·포장용 원지 제조
·황산지 제조
·콘덴서지 제조     
·셀룰로오스섬유 웨브(web) 제조
·특수 박엽지(궐련용지, 사전용지, 글라신지 등) 제조
·전기절연지 제조
&lt;제 외&gt;
*한지(→210112)</t>
        </is>
      </c>
      <c r="G206" s="90" t="n">
        <v>88.7</v>
      </c>
      <c r="H206" s="90" t="n">
        <v>0</v>
      </c>
      <c r="I206" s="90" t="n">
        <v>10.7</v>
      </c>
    </row>
    <row r="207" ht="17.25" customHeight="1" s="66">
      <c r="A207" s="65" t="inlineStr">
        <is>
          <t>210106</t>
        </is>
      </c>
      <c r="B207" s="68" t="inlineStr">
        <is>
          <t>제조업</t>
        </is>
      </c>
      <c r="C207" s="68" t="inlineStr">
        <is>
          <t>펄프, 종이 및 종이제품 제조업</t>
        </is>
      </c>
      <c r="D207" s="68" t="inlineStr">
        <is>
          <t>펄프, 종이 및 판지 제조업</t>
        </is>
      </c>
      <c r="E207" s="68" t="inlineStr">
        <is>
          <t>펄프 제조업</t>
        </is>
      </c>
      <c r="F207" s="68" t="inlineStr">
        <is>
          <t>◦각종 식물성 물질, 섬유, 넝마, 폐지, 고지 등으로 각종 형태의 펄프와 기타 섬유질의 셀룰로오스(섬유소) 물질을 제조하는 산업활동을 말한다. 이러한 것들은 표백 여부를 불문한다.
&lt;예 시&gt;
·화학 목재펄프 제조
·기계 목재펄프 제조
·섬유질 셀룰로오스펄프 제조     
·고지 재생펄프 제조</t>
        </is>
      </c>
      <c r="G207" s="90" t="n">
        <v>89.59999999999999</v>
      </c>
      <c r="H207" s="90" t="n">
        <v>0</v>
      </c>
      <c r="I207" s="90" t="n">
        <v>10.7</v>
      </c>
    </row>
    <row r="208" ht="17.25" customHeight="1" s="66">
      <c r="A208" s="65" t="inlineStr">
        <is>
          <t>210107</t>
        </is>
      </c>
      <c r="B208" s="68" t="inlineStr">
        <is>
          <t>제조업</t>
        </is>
      </c>
      <c r="C208" s="68" t="inlineStr">
        <is>
          <t>펄프, 종이 및 종이제품 제조업</t>
        </is>
      </c>
      <c r="D208" s="68" t="inlineStr">
        <is>
          <t>펄프, 종이 및 판지 제조업</t>
        </is>
      </c>
      <c r="E208" s="68" t="inlineStr">
        <is>
          <t>인쇄용 및 필기용 원지 제조업</t>
        </is>
      </c>
      <c r="F208" s="68" t="inlineStr">
        <is>
          <t>◦신문용지 이외의 인쇄, 필기, 도화 등에 적합한 종이 및 판지를 제조하는 산업활동을 말한다.
&lt;예 시&gt;
·벽지용 원지 제조
·천공카드지 제조
·인쇄용 원지 제조
·사진 및 전자 감광지, 열 감응지 원지 제조
·필기용 원지 제조
·일반 수제지 및 판지 원지 제조
·백상지ㆍ중질지ㆍ아트지 원지 제조
·인쇄용 박엽지 원지 제조
&lt;제 외&gt;
·신문용 원지 제조(210101)
·특수 수제지 및 한지 제조(210112)</t>
        </is>
      </c>
      <c r="G208" s="90" t="n">
        <v>89.59999999999999</v>
      </c>
      <c r="H208" s="90" t="n">
        <v>0</v>
      </c>
      <c r="I208" s="90" t="n">
        <v>10.7</v>
      </c>
    </row>
    <row r="209" ht="17.25" customHeight="1" s="66">
      <c r="A209" s="65" t="inlineStr">
        <is>
          <t>210108</t>
        </is>
      </c>
      <c r="B209" s="68" t="inlineStr">
        <is>
          <t>제조업</t>
        </is>
      </c>
      <c r="C209" s="68" t="inlineStr">
        <is>
          <t>펄프, 종이 및 종이제품 제조업</t>
        </is>
      </c>
      <c r="D209" s="68" t="inlineStr">
        <is>
          <t>펄프, 종이 및 판지 제조업</t>
        </is>
      </c>
      <c r="E209" s="68" t="inlineStr">
        <is>
          <t>위생용 원지 제조업</t>
        </is>
      </c>
      <c r="F209" s="68" t="inlineStr">
        <is>
          <t>◦화장지 또는 안면용 티슈, 타월 또는 냅킨용 원지 및 기타 유사한 위생용 원지, 셀룰로오스 섬유의 웨브 또는 워딩용 원지를 말한다. 위생용 원지는 주름 가공, 압형, 천공, 착색, 표면 장식 또는 인쇄한 것인지 여부를 불문하고 포함한다.
&lt;예 시&gt;
·화장지 원지 제조
·셀룰로오스 섬유 웨브(web), 충전제(wadding)용 원지 제조
·타월·냅킨용 원지 제조
·화장지용 박엽지 원지 제조</t>
        </is>
      </c>
      <c r="G209" s="90" t="n">
        <v>89.59999999999999</v>
      </c>
      <c r="H209" s="90" t="n">
        <v>0</v>
      </c>
      <c r="I209" s="90" t="n">
        <v>10.7</v>
      </c>
    </row>
    <row r="210" ht="17.25" customHeight="1" s="66">
      <c r="A210" s="65" t="inlineStr">
        <is>
          <t>210111</t>
        </is>
      </c>
      <c r="B210" s="68" t="inlineStr">
        <is>
          <t>제조업</t>
        </is>
      </c>
      <c r="C210" s="68" t="inlineStr">
        <is>
          <t>펄프, 종이 및 종이제품 제조업</t>
        </is>
      </c>
      <c r="D210" s="68" t="inlineStr">
        <is>
          <t>펄프, 종이 및 판지 제조업</t>
        </is>
      </c>
      <c r="E210" s="68" t="inlineStr">
        <is>
          <t>골판지 원지 제조업,크라프트지 및 기타 상자용 판지 제조업</t>
        </is>
      </c>
      <c r="F210" s="68" t="inlineStr">
        <is>
          <t>◦황산 펄프(표백 여부 불문) 등으로 크라프트지 및 판지를 제조하거나 상자 제조용 또는 기계장비 부속품 제조용 판지를 제조하는 산업활동을 말한다.
&lt;예 시&gt;
·크라프트 라이너 제조
·쥬트 라이너 제조
·백판지(마닐라 판지) 제조
·아이보리 판지 제조업
·골판지 원지 제조
·일반 골심지 제조
·반화학 골심지 제조
·다겹층지 제조
·포장용 판지 제조
&lt;제 외&gt;
·나무 물질을 응집시켜 파이버보드 및 건축용 판재 제조(202101)
·원단을 구입하여 도포한 크라프트지와 판지(210102)</t>
        </is>
      </c>
      <c r="G210" s="90" t="n">
        <v>91.3</v>
      </c>
      <c r="H210" s="90" t="n">
        <v>0</v>
      </c>
      <c r="I210" s="90" t="n">
        <v>9.6</v>
      </c>
    </row>
    <row r="211" ht="17.25" customHeight="1" s="66">
      <c r="A211" s="65" t="inlineStr">
        <is>
          <t>210112</t>
        </is>
      </c>
      <c r="B211" s="68" t="inlineStr">
        <is>
          <t>제조업</t>
        </is>
      </c>
      <c r="C211" s="68" t="inlineStr">
        <is>
          <t>펄프, 종이 및 종이제품 제조업</t>
        </is>
      </c>
      <c r="D211" s="68" t="inlineStr">
        <is>
          <t>펄프, 종이 및 판지 제조업</t>
        </is>
      </c>
      <c r="E211" s="68" t="inlineStr">
        <is>
          <t>기타 종이 및 판지 제조업</t>
        </is>
      </c>
      <c r="F211" s="68" t="inlineStr">
        <is>
          <t>◦한지
&lt;예 시&gt;
·창호지, 장판용지, 서예지, 화선지, 장식용한지, 태합지, 수제지</t>
        </is>
      </c>
      <c r="G211" s="90" t="n">
        <v>91.3</v>
      </c>
      <c r="H211" s="90" t="n">
        <v>0</v>
      </c>
      <c r="I211" s="90" t="n">
        <v>9.6</v>
      </c>
    </row>
    <row r="212" ht="17.25" customHeight="1" s="66">
      <c r="A212" s="65" t="inlineStr">
        <is>
          <t>210200</t>
        </is>
      </c>
      <c r="B212" s="68" t="inlineStr">
        <is>
          <t>제조업</t>
        </is>
      </c>
      <c r="C212" s="68" t="inlineStr">
        <is>
          <t>펄프, 종이 및 종이제품 제조업</t>
        </is>
      </c>
      <c r="D212" s="68" t="inlineStr">
        <is>
          <t>골판지 및 골판지 가공제품 제조업</t>
        </is>
      </c>
      <c r="E212" s="68" t="inlineStr">
        <is>
          <t>골판지 제조업</t>
        </is>
      </c>
      <c r="F212" s="68" t="inlineStr">
        <is>
          <t>◦골판지 제조용 원지를 가공하여 골판지 원단 및 골판지를 제조하거나 연속공정으로 골판지 상자 및 칸막이 등 관련 제품을 제조하는 산업활동을 말한다.
&lt;예 시&gt;
·골판지 제조
·골판지 원단 생산과 연속공정으로 생산되는 골판지 상자, 골판지 칸막이 및 관련 제품 제조</t>
        </is>
      </c>
      <c r="G212" s="90" t="n">
        <v>93</v>
      </c>
      <c r="H212" s="90" t="n">
        <v>0</v>
      </c>
      <c r="I212" s="90" t="n">
        <v>7.1</v>
      </c>
    </row>
    <row r="213" ht="17.25" customHeight="1" s="66">
      <c r="A213" s="65" t="inlineStr">
        <is>
          <t>210201</t>
        </is>
      </c>
      <c r="B213" s="68" t="inlineStr">
        <is>
          <t>제조업</t>
        </is>
      </c>
      <c r="C213" s="68" t="inlineStr">
        <is>
          <t>펄프, 종이 및 종이제품 제조업</t>
        </is>
      </c>
      <c r="D213" s="68" t="inlineStr">
        <is>
          <t>종이 포대, 판지 상자 및 종이 용기 제조업</t>
        </is>
      </c>
      <c r="E213" s="68" t="inlineStr">
        <is>
          <t>판지 상자 및 용기 제조업</t>
        </is>
      </c>
      <c r="F213" s="68" t="inlineStr">
        <is>
          <t>◦판지(골판지 제외)로 상품의 포장 또는 운반용기, 상품의 진열◦저장 및 판매용 상자, 포장용 삽입물 및 칸막이 등의 포장용 판지 상자 및 관련제품을 제조하는 산업활동을 말한다. 사업장에서 사용되는 캔, 드럼, 캐비닛 및 유사 용기 등의 각종 판지제품을 제조하는 활동도 포함한다. 이러한 제품은 포장용기에 비해 정교하고 견고한 내구적인 형태로 만들어지며 금속, 목재, 플라스틱 또는 섬유 물질로 보강되거나 손잡이 및 개폐장치 등을 부착할 수 있다.
&lt;예 시&gt;
·포장용 삽입물 제조
·상자용 칸막이 제조
·서류 상자 제조
·보관함 제조
·서류 캐비닛 제조
·서류 받침 제조   
·경화섬유포장용기(파이버상자)
&lt;제 외&gt;
·골판지(210200)및 골판지상자 제조(210202)
·식품위생용으로 위생 처리된 판지 상자 및 용기 제조(210204)</t>
        </is>
      </c>
      <c r="G213" s="90" t="n">
        <v>93.59999999999999</v>
      </c>
      <c r="H213" s="90" t="n">
        <v>0</v>
      </c>
      <c r="I213" s="90" t="n">
        <v>9.199999999999999</v>
      </c>
    </row>
    <row r="214" ht="17.25" customHeight="1" s="66">
      <c r="A214" s="65" t="inlineStr">
        <is>
          <t>210202</t>
        </is>
      </c>
      <c r="B214" s="68" t="inlineStr">
        <is>
          <t>제조업</t>
        </is>
      </c>
      <c r="C214" s="68" t="inlineStr">
        <is>
          <t>펄프, 종이 및 종이제품 제조업</t>
        </is>
      </c>
      <c r="D214" s="68" t="inlineStr">
        <is>
          <t>골판지 및 골판지 가공제품 제조업</t>
        </is>
      </c>
      <c r="E214" s="68" t="inlineStr">
        <is>
          <t>골판지 상자 및 가공제품 제조업</t>
        </is>
      </c>
      <c r="F214" s="68" t="inlineStr">
        <is>
          <t>◦구입한 골판지 원단 및 골판지를 가공하여 골판지 상자 및 관련 제품을 제조하는 산업활동을 말한다.
&lt;예 시&gt;
·골판지 상자 제조
·골판지 칸막이 제조</t>
        </is>
      </c>
      <c r="G214" s="90" t="n">
        <v>93</v>
      </c>
      <c r="H214" s="90" t="n">
        <v>0</v>
      </c>
      <c r="I214" s="90" t="n">
        <v>10.2</v>
      </c>
    </row>
    <row r="215" ht="17.25" customHeight="1" s="66">
      <c r="A215" s="65" t="inlineStr">
        <is>
          <t>210203</t>
        </is>
      </c>
      <c r="B215" s="68" t="inlineStr">
        <is>
          <t>제조업</t>
        </is>
      </c>
      <c r="C215" s="68" t="inlineStr">
        <is>
          <t>펄프, 종이 및 종이제품 제조업</t>
        </is>
      </c>
      <c r="D215" s="68" t="inlineStr">
        <is>
          <t>종이 포대, 판지 상자 및 종이 용기 제조업</t>
        </is>
      </c>
      <c r="E215" s="68" t="inlineStr">
        <is>
          <t>종이 포대 및 가방 제조업</t>
        </is>
      </c>
      <c r="F215" s="68" t="inlineStr">
        <is>
          <t>◦종이 또는 판지를 단 겹 또는 여러 겹으로 결합시켜 각종 상품 및 제품을 포장하는데 사용되는 종이 포대 및 봉지 또는 휴대용 종이가방(쇼핑백 등)을 제조하는 산업활동을 말한다.
&lt;예 시&gt;
·종이 쇼핑백 제조
·종이 봉지 제조(포장용)     
·종이 식품백 제조
·종이 의복백 제조
&lt;제 외&gt;
·사무용 종이봉투 제조(210901)</t>
        </is>
      </c>
      <c r="G215" s="90" t="n">
        <v>93.59999999999999</v>
      </c>
      <c r="H215" s="90" t="n">
        <v>0</v>
      </c>
      <c r="I215" s="90" t="n">
        <v>10.2</v>
      </c>
    </row>
    <row r="216" ht="17.25" customHeight="1" s="66">
      <c r="A216" s="65" t="inlineStr">
        <is>
          <t>210204</t>
        </is>
      </c>
      <c r="B216" s="68" t="inlineStr">
        <is>
          <t>제조업</t>
        </is>
      </c>
      <c r="C216" s="68" t="inlineStr">
        <is>
          <t>펄프, 종이 및 종이제품 제조업</t>
        </is>
      </c>
      <c r="D216" s="68" t="inlineStr">
        <is>
          <t>종이 포대, 판지 상자 및 종이 용기 제조업</t>
        </is>
      </c>
      <c r="E216" s="68" t="inlineStr">
        <is>
          <t>식품 위생용 종이 상자 및 용기 제조업</t>
        </is>
      </c>
      <c r="F216" s="68" t="inlineStr">
        <is>
          <t>◦식품용으로 위생 처리한 종이 및 판지를 가공하여 액상, 분상 및 고형상의 식품을 담을 수 있는 관, 병, 원추통, 상자 등의 식품용 종이상자 및 용기를 제조하는 산업활동을 말한다.
&lt;예 시&gt;
·액체 포장용기 제조
·식품 포장용 종이용기 제조
·식품 포장용 상자 제조
·버터 포장용 파라핀 상자 제조
&lt;제 외&gt;
·종이컵, 종이접시 제조(210206,210905)</t>
        </is>
      </c>
      <c r="G216" s="90" t="n">
        <v>93.59999999999999</v>
      </c>
      <c r="H216" s="90" t="n">
        <v>0</v>
      </c>
      <c r="I216" s="90" t="n">
        <v>10.2</v>
      </c>
    </row>
    <row r="217" ht="17.25" customHeight="1" s="66">
      <c r="A217" s="65" t="inlineStr">
        <is>
          <t>210205</t>
        </is>
      </c>
      <c r="B217" s="68" t="inlineStr">
        <is>
          <t>제조업</t>
        </is>
      </c>
      <c r="C217" s="68" t="inlineStr">
        <is>
          <t>펄프, 종이 및 종이제품 제조업</t>
        </is>
      </c>
      <c r="D217" s="68" t="inlineStr">
        <is>
          <t>종이 포대, 판지 상자 및 종이 용기 제조업</t>
        </is>
      </c>
      <c r="E217" s="68" t="inlineStr">
        <is>
          <t>기타 종이 상자 및 용기 제조업</t>
        </is>
      </c>
      <c r="F217" s="68" t="inlineStr">
        <is>
          <t>◦판지 및 골판지 이외의 종이로 포장용 종이 상자 및 용기를 제조하거나 포장용 삽입물 및 칸막이 등 관련 제품을 제조하는 산업활동을 말한다.
&lt;예 시&gt;
·종이 상자 제조
·종이 용기 제조
&lt;제 외&gt;
·골판지 상자 및 용기 제조(210202)
·판지제 상자 및 용기 제조(210201)</t>
        </is>
      </c>
      <c r="G217" s="90" t="n">
        <v>93.59999999999999</v>
      </c>
      <c r="H217" s="90" t="n">
        <v>0</v>
      </c>
      <c r="I217" s="90" t="n">
        <v>10.2</v>
      </c>
    </row>
    <row r="218" ht="17.25" customHeight="1" s="66">
      <c r="A218" s="65" t="inlineStr">
        <is>
          <t>210206</t>
        </is>
      </c>
      <c r="B218" s="68" t="inlineStr">
        <is>
          <t>제조업</t>
        </is>
      </c>
      <c r="C218" s="68" t="inlineStr">
        <is>
          <t>펄프, 종이 및 종이제품 제조업</t>
        </is>
      </c>
      <c r="D218" s="68" t="inlineStr">
        <is>
          <t>기타 종이 및 판지 제품 제조업</t>
        </is>
      </c>
      <c r="E218" s="68" t="inlineStr">
        <is>
          <t>그 외 기타 종이 및 판지 제품 제조업</t>
        </is>
      </c>
      <c r="F218" s="68" t="inlineStr">
        <is>
          <t>◦종이컵 , 종이 필터 제조</t>
        </is>
      </c>
      <c r="G218" s="90" t="n">
        <v>93.59999999999999</v>
      </c>
      <c r="H218" s="90" t="n">
        <v>0</v>
      </c>
      <c r="I218" s="90" t="n">
        <v>10.2</v>
      </c>
    </row>
    <row r="219" ht="17.25" customHeight="1" s="66">
      <c r="A219" s="65" t="inlineStr">
        <is>
          <t>210901</t>
        </is>
      </c>
      <c r="B219" s="68" t="inlineStr">
        <is>
          <t>제조업</t>
        </is>
      </c>
      <c r="C219" s="68" t="inlineStr">
        <is>
          <t>펄프, 종이 및 종이제품 제조업</t>
        </is>
      </c>
      <c r="D219" s="68" t="inlineStr">
        <is>
          <t>기타 종이 및 판지 제품 제조업</t>
        </is>
      </c>
      <c r="E219" s="68" t="inlineStr">
        <is>
          <t>문구용 종이제품 제조업</t>
        </is>
      </c>
      <c r="F219" s="68" t="inlineStr">
        <is>
          <t>◦인쇄용 또는 필기용 원지 및 판지를 일정한 형태로 절단 및 기타 가공하여 사무용지, 봉투 또는 책 형태로 인쇄◦제책된 노트, 장부, 바인더 등의 종이제 문구류를 제조하는 산업활동을 말한다. 이러한 제품은 종이로서의 기능을 유지하는 범위 내에서 부수적으로 도안(주소 및 성명란, 상표, 무늬 장식 등) 및 선(줄) 등이 인쇄될 수 있다.
&lt;예 시&gt;
·복사지 제조
·바인더 및 홀더 제조
·앨범 제조
·영수증 용지 제조
·자동기록기용 종이제품 제조
·카본지 절단품 제조
·표지 및 파일커버 제조
·접착지 절단품 제조
·문구용지
&lt;제 외&gt;
·유가증권, 우편엽서, 사진 복제품, 판화 등 출판(221900)</t>
        </is>
      </c>
      <c r="G219" s="90" t="n">
        <v>94</v>
      </c>
      <c r="H219" s="90" t="n">
        <v>0</v>
      </c>
      <c r="I219" s="90" t="n">
        <v>10.4</v>
      </c>
    </row>
    <row r="220" ht="17.25" customHeight="1" s="66">
      <c r="A220" s="65" t="inlineStr">
        <is>
          <t>210902</t>
        </is>
      </c>
      <c r="B220" s="68" t="inlineStr">
        <is>
          <t>제조업</t>
        </is>
      </c>
      <c r="C220" s="68" t="inlineStr">
        <is>
          <t>펄프, 종이 및 종이제품 제조업</t>
        </is>
      </c>
      <c r="D220" s="68" t="inlineStr">
        <is>
          <t>기타 종이 및 판지 제품 제조업</t>
        </is>
      </c>
      <c r="E220" s="68" t="inlineStr">
        <is>
          <t>벽지 및 장판지 제조업</t>
        </is>
      </c>
      <c r="F220" s="68" t="inlineStr">
        <is>
          <t>◦종이와 판지로 벽지, 바닥깔개, 장판지, 투명 무늬지 등을 제조하는 산업활동을 말한다. 방직용 섬유로 직물 벽지를 제조하는 경우도 포함한다.
&lt;예 시&gt;
·섬유 벽지 제조
·장판지 제조(원지 제외)    
·벽 피복용지 제조(원지 제외)
·창문용 투명 무늬지 제조</t>
        </is>
      </c>
      <c r="G220" s="90" t="n">
        <v>92.40000000000001</v>
      </c>
      <c r="H220" s="90" t="n">
        <v>0</v>
      </c>
      <c r="I220" s="90" t="n">
        <v>16.2</v>
      </c>
    </row>
    <row r="221" ht="17.25" customHeight="1" s="66">
      <c r="A221" s="65" t="inlineStr">
        <is>
          <t>210903</t>
        </is>
      </c>
      <c r="B221" s="68" t="inlineStr">
        <is>
          <t>제조업</t>
        </is>
      </c>
      <c r="C221" s="68" t="inlineStr">
        <is>
          <t>펄프, 종이 및 종이제품 제조업</t>
        </is>
      </c>
      <c r="D221" s="68" t="inlineStr">
        <is>
          <t>기타 종이 및 판지 제품 제조업</t>
        </is>
      </c>
      <c r="E221" s="68" t="inlineStr">
        <is>
          <t>위생용 종이제품 제조업</t>
        </is>
      </c>
      <c r="F221" s="68" t="inlineStr">
        <is>
          <t>◦위생용 원지 및 관련 재료를 절단 또는 기타 가공하여 위생용지 및 위생용 종이제품을 제조하는 산업활동을 말한다.
&lt;예 시&gt;
·화장지 제조
·탐폰 제조
·기저귀 제조    
·안면용 화장지 제조
·크린징 티슈 제조
&lt;제 외&gt;
·식품위생용 종이 상자 및 용기 제조(210204)</t>
        </is>
      </c>
      <c r="G221" s="90" t="n">
        <v>90.5</v>
      </c>
      <c r="H221" s="90" t="n">
        <v>0</v>
      </c>
      <c r="I221" s="90" t="n">
        <v>7.3</v>
      </c>
    </row>
    <row r="222" ht="17.25" customHeight="1" s="66">
      <c r="A222" s="65" t="inlineStr">
        <is>
          <t>210905</t>
        </is>
      </c>
      <c r="B222" s="68" t="inlineStr">
        <is>
          <t>제조업</t>
        </is>
      </c>
      <c r="C222" s="68" t="inlineStr">
        <is>
          <t>펄프, 종이 및 종이제품 제조업</t>
        </is>
      </c>
      <c r="D222" s="68" t="inlineStr">
        <is>
          <t>기타 종이 및 판지 제품 제조업</t>
        </is>
      </c>
      <c r="E222" s="68" t="inlineStr">
        <is>
          <t>그 외 기타 종이 및 판지 제품 제조업</t>
        </is>
      </c>
      <c r="F222" s="68" t="inlineStr">
        <is>
          <t>◦종이 및 판지를 일정한 크기로 압단 또는 재단하여 담배용, 사진 부착용, 기계용 또는 기타 용도의 종이 및 판지제품 또는 펄프 성형제품을 제조하는 산업활동을 말하며, 관련 단순 인쇄활동이 결합될 수 있다.
&lt;예 시&gt;
·궐연지 제조
·개스킷 및 와셔 제조(종이제)    
·판지제 실패 및 유사 지지물 제조
·여과용 종이제품 제조     
·스티커 제조
·펄프제 필터 블록 및 슬래브 제조
·종이 수저, 접시 및 유사제품 제조
·종이 라벨 제조
&lt;제 외&gt;
*종이컵, 종이 필터 제조(→210206)</t>
        </is>
      </c>
      <c r="G222" s="90" t="n">
        <v>90.5</v>
      </c>
      <c r="H222" s="90" t="n">
        <v>0</v>
      </c>
      <c r="I222" s="90" t="n">
        <v>7.1</v>
      </c>
    </row>
    <row r="223" ht="17.25" customHeight="1" s="66">
      <c r="A223" s="65" t="inlineStr">
        <is>
          <t>221100</t>
        </is>
      </c>
      <c r="B223" s="68" t="inlineStr">
        <is>
          <t>정보통신업</t>
        </is>
      </c>
      <c r="C223" s="68" t="inlineStr">
        <is>
          <t>출판업</t>
        </is>
      </c>
      <c r="D223" s="68" t="inlineStr">
        <is>
          <t>서적 출판업</t>
        </is>
      </c>
      <c r="E223" s="68" t="inlineStr">
        <is>
          <t>일반 서적 출판업</t>
        </is>
      </c>
      <c r="F223" s="68" t="inlineStr">
        <is>
          <t>◦학습 서적, 만화, 잡지 및 정기 간행물을 제외한 각종 서적이나 서적 성격의 팸플릿을 출판하는 산업활동을 말한다.
&lt;예 시&gt;
·소설 및 수필집 출판
·동화책 출판
·여행 가이드 서적 출판
·지도 및 해도 출판
·사업체 목록 출판
·전화번호부 출판
·판례집 출판
·정보 목록부 출판
·인터넷 웹 소설 출판
&lt;제 외&gt;
·악보 등 음악책 출판활동(221300)
·지도 및 해도를 제작하는 산업활동(742102)</t>
        </is>
      </c>
      <c r="G223" s="90" t="n">
        <v>95.59999999999999</v>
      </c>
      <c r="H223" s="90" t="n">
        <v>0</v>
      </c>
      <c r="I223" s="90" t="n">
        <v>13.2</v>
      </c>
    </row>
    <row r="224" ht="17.25" customHeight="1" s="66">
      <c r="A224" s="65" t="inlineStr">
        <is>
          <t>221103</t>
        </is>
      </c>
      <c r="B224" s="68" t="inlineStr">
        <is>
          <t>정보통신업</t>
        </is>
      </c>
      <c r="C224" s="68" t="inlineStr">
        <is>
          <t>출판업</t>
        </is>
      </c>
      <c r="D224" s="68" t="inlineStr">
        <is>
          <t>서적 출판업</t>
        </is>
      </c>
      <c r="E224" s="68" t="inlineStr">
        <is>
          <t>교과서 및 학습 서적 출판업</t>
        </is>
      </c>
      <c r="F224" s="68" t="inlineStr">
        <is>
          <t>◦초◦중◦고등학교 교과서 및 교과관련 학습지, 참고서 등을 출판하는 산업활동을 말한다.
&lt;예 시&gt;
·교과서 출판
·학습지 출판
·참고서 출판
·국어사전 출판</t>
        </is>
      </c>
      <c r="G224" s="90" t="n">
        <v>95.2</v>
      </c>
      <c r="H224" s="90" t="n">
        <v>0</v>
      </c>
      <c r="I224" s="90" t="n">
        <v>16</v>
      </c>
    </row>
    <row r="225" ht="17.25" customHeight="1" s="66">
      <c r="A225" s="65" t="inlineStr">
        <is>
          <t>221104</t>
        </is>
      </c>
      <c r="B225" s="68" t="inlineStr">
        <is>
          <t>정보통신업</t>
        </is>
      </c>
      <c r="C225" s="68" t="inlineStr">
        <is>
          <t>출판업</t>
        </is>
      </c>
      <c r="D225" s="68" t="inlineStr">
        <is>
          <t>서적 출판업</t>
        </is>
      </c>
      <c r="E225" s="68" t="inlineStr">
        <is>
          <t>만화 출판업</t>
        </is>
      </c>
      <c r="F225" s="68" t="inlineStr">
        <is>
          <t>◦만화를 출판하는 산업활동을 말한다.
&lt;예 시&gt;
·만화책 출판
·인터넷 웹툰 출판</t>
        </is>
      </c>
      <c r="G225" s="90" t="n">
        <v>93.2</v>
      </c>
      <c r="H225" s="90" t="n">
        <v>0</v>
      </c>
      <c r="I225" s="90" t="n">
        <v>14.2</v>
      </c>
    </row>
    <row r="226" ht="17.25" customHeight="1" s="66">
      <c r="A226" s="65" t="inlineStr">
        <is>
          <t>221200</t>
        </is>
      </c>
      <c r="B226" s="68" t="inlineStr">
        <is>
          <t>정보통신업</t>
        </is>
      </c>
      <c r="C226" s="68" t="inlineStr">
        <is>
          <t>출판업</t>
        </is>
      </c>
      <c r="D226" s="68" t="inlineStr">
        <is>
          <t>신문, 잡지 및 정기 간행물 출판업</t>
        </is>
      </c>
      <c r="E226" s="68" t="inlineStr">
        <is>
          <t>잡지 및 정기 간행물 발행업</t>
        </is>
      </c>
      <c r="F226" s="68" t="inlineStr">
        <is>
          <t>◦전문 또는 일반적인 내용에 관한 주간, 순간, 월간, 계간, 연간 등의 정기 간행물 및 잡지 등을 발행하는 산업활동을 말한다.
&lt;예 시&gt;
·주간 신문 발행
·월간지 발행
&lt;제 외&gt;
·신문 발행(221201)</t>
        </is>
      </c>
      <c r="G226" s="90" t="n">
        <v>94.59999999999999</v>
      </c>
      <c r="H226" s="90" t="n">
        <v>0</v>
      </c>
      <c r="I226" s="90" t="n">
        <v>20.4</v>
      </c>
    </row>
    <row r="227" ht="17.25" customHeight="1" s="66">
      <c r="A227" s="65" t="inlineStr">
        <is>
          <t>221201</t>
        </is>
      </c>
      <c r="B227" s="68" t="inlineStr">
        <is>
          <t>정보통신업</t>
        </is>
      </c>
      <c r="C227" s="68" t="inlineStr">
        <is>
          <t>출판업</t>
        </is>
      </c>
      <c r="D227" s="68" t="inlineStr">
        <is>
          <t>신문, 잡지 및 정기 간행물 출판업</t>
        </is>
      </c>
      <c r="E227" s="68" t="inlineStr">
        <is>
          <t>신문 발행업</t>
        </is>
      </c>
      <c r="F227" s="68" t="inlineStr">
        <is>
          <t>◦일반대중이 관심을 갖는 뉴스를 제공하기 위하여 일간 및 주 3일 이상 발간하는 신문을 발행하는 산업활동을 말한다.
&lt;예 시&gt;
·경제 신문 발행
·스포츠 신문 발행
·일반 신문 발행
&lt;제 외&gt;
·생활 정보지 발행(221202)
·전문 회보, 주간 뉴스 및 주간지 발행(221200)
·방송 또는 신문사, 출판사 및 기타 언론사에 뉴스 자료 제공 활동(724001)</t>
        </is>
      </c>
      <c r="G227" s="90" t="n">
        <v>94.59999999999999</v>
      </c>
      <c r="H227" s="90" t="n">
        <v>0</v>
      </c>
      <c r="I227" s="90" t="n">
        <v>25.9</v>
      </c>
    </row>
    <row r="228" ht="17.25" customHeight="1" s="66">
      <c r="A228" s="65" t="inlineStr">
        <is>
          <t>221202</t>
        </is>
      </c>
      <c r="B228" s="68" t="inlineStr">
        <is>
          <t>정보통신업</t>
        </is>
      </c>
      <c r="C228" s="68" t="inlineStr">
        <is>
          <t>출판업</t>
        </is>
      </c>
      <c r="D228" s="68" t="inlineStr">
        <is>
          <t>신문, 잡지 및 정기 간행물 출판업</t>
        </is>
      </c>
      <c r="E228" s="68" t="inlineStr">
        <is>
          <t>정기 광고 간행물 발행업</t>
        </is>
      </c>
      <c r="F228" s="68" t="inlineStr">
        <is>
          <t>◦부동산, 중고품 등의 각종 상품의 거래, 산업활동 안내, 구인◦구직 등에 관한 광고 간행물을 정기적으로 발행하는 산업활동을 말한다.
&lt;예 시&gt;
·생활 정보지 발행
·광고 간행물 발행
&lt;제 외&gt;
·신문 발행(221201)</t>
        </is>
      </c>
      <c r="G228" s="90" t="n">
        <v>94.59999999999999</v>
      </c>
      <c r="H228" s="90" t="n">
        <v>0</v>
      </c>
      <c r="I228" s="90" t="n">
        <v>20.1</v>
      </c>
    </row>
    <row r="229" ht="17.25" customHeight="1" s="66">
      <c r="A229" s="65" t="inlineStr">
        <is>
          <t>221300</t>
        </is>
      </c>
      <c r="B229" s="68" t="inlineStr">
        <is>
          <t>정보통신업</t>
        </is>
      </c>
      <c r="C229" s="68" t="inlineStr">
        <is>
          <t>영상ㆍ오디오 기록물 제작 및 배급업</t>
        </is>
      </c>
      <c r="D229" s="68" t="inlineStr">
        <is>
          <t>오디오물 출판 및 원판 녹음업</t>
        </is>
      </c>
      <c r="E229" s="68" t="inlineStr">
        <is>
          <t>음악 및 기타 오디오물 출판업</t>
        </is>
      </c>
      <c r="F229" s="68" t="inlineStr">
        <is>
          <t>◦음악 및 기타 소리를 기록한 레코드, 테이프 및 기타 오디오 기록물을 기획◦제작하거나 제작한 것을 직접 출판하는 산업활동을 말한다. 악보 등 음악책 출판활동도 포함한다.
&lt;예 시&gt;
·레코드 출판
·음악 기록 매체 출판
·오디오 테이프 출판
·음성 기록 매체 출판
·악보 등 음악책 출판활동
&lt;제 외&gt;
·음악 및 기타 오디오물 기록 매체 복제 서비스(223001)</t>
        </is>
      </c>
      <c r="G229" s="90" t="n">
        <v>91.2</v>
      </c>
      <c r="H229" s="90" t="n">
        <v>0</v>
      </c>
      <c r="I229" s="90" t="n">
        <v>22.1</v>
      </c>
    </row>
    <row r="230" ht="17.25" customHeight="1" s="66">
      <c r="A230" s="65" t="inlineStr">
        <is>
          <t>221900</t>
        </is>
      </c>
      <c r="B230" s="68" t="inlineStr">
        <is>
          <t>정보통신업</t>
        </is>
      </c>
      <c r="C230" s="68" t="inlineStr">
        <is>
          <t>출판업</t>
        </is>
      </c>
      <c r="D230" s="68" t="inlineStr">
        <is>
          <t>기타 인쇄물 출판업</t>
        </is>
      </c>
      <c r="E230" s="68" t="inlineStr">
        <is>
          <t>기타 인쇄물 출판업</t>
        </is>
      </c>
      <c r="F230" s="68" t="inlineStr">
        <is>
          <t>◦기타 출판업으로서 사진, 판화 및 우편 엽서, 시간표, 캘린더, 예술 복제품 및 기타 인쇄물을 발행하는 산업활동을 말한다. 각종 마이크로 출판물의 발행도 포함한다.
&lt;예 시&gt;
·우표 발행
·축하 카드 발행
·지폐 발행
·예술 복제품 제조</t>
        </is>
      </c>
      <c r="G230" s="90" t="n">
        <v>92.59999999999999</v>
      </c>
      <c r="H230" s="90" t="n">
        <v>0</v>
      </c>
      <c r="I230" s="90" t="n">
        <v>18.9</v>
      </c>
    </row>
    <row r="231" ht="17.25" customHeight="1" s="66">
      <c r="A231" s="65" t="inlineStr">
        <is>
          <t>222101</t>
        </is>
      </c>
      <c r="B231" s="68" t="inlineStr">
        <is>
          <t>제조업</t>
        </is>
      </c>
      <c r="C231" s="68" t="inlineStr">
        <is>
          <t>인쇄 및 기록매체 복제업</t>
        </is>
      </c>
      <c r="D231" s="68" t="inlineStr">
        <is>
          <t>인쇄업</t>
        </is>
      </c>
      <c r="E231" s="68" t="inlineStr">
        <is>
          <t>경 인쇄업</t>
        </is>
      </c>
      <c r="F231" s="68" t="inlineStr">
        <is>
          <t>◦수수료 또는 계약에 의해 각종 인쇄물을 프린트</t>
        </is>
      </c>
      <c r="G231" s="90" t="n">
        <v>93.3</v>
      </c>
      <c r="H231" s="90" t="n">
        <v>0</v>
      </c>
      <c r="I231" s="90" t="n">
        <v>12.1</v>
      </c>
    </row>
    <row r="232" ht="17.25" customHeight="1" s="66">
      <c r="A232" s="65" t="inlineStr">
        <is>
          <t>222102</t>
        </is>
      </c>
      <c r="B232" s="68" t="inlineStr">
        <is>
          <t>제조업</t>
        </is>
      </c>
      <c r="C232" s="68" t="inlineStr">
        <is>
          <t>인쇄 및 기록매체 복제업</t>
        </is>
      </c>
      <c r="D232" s="68" t="inlineStr">
        <is>
          <t>인쇄업</t>
        </is>
      </c>
      <c r="E232" s="68" t="inlineStr">
        <is>
          <t>스크린 인쇄업</t>
        </is>
      </c>
      <c r="F232" s="68" t="inlineStr">
        <is>
          <t>◦수수료 또는 계약에 의하여 각종 인쇄물을 스크린 제판술에 의하여 인쇄하는 산업활동을 말한다.
&lt;예 시&gt;
·평면, 곡면 스크린 인쇄
·패드(pad) 인쇄
&lt;제 외&gt;
·수수료 또는 계약에 의해 섬유제품 제조와 관련한 날염가공(193009)</t>
        </is>
      </c>
      <c r="G232" s="90" t="n">
        <v>92.5</v>
      </c>
      <c r="H232" s="90" t="n">
        <v>0</v>
      </c>
      <c r="I232" s="90" t="n">
        <v>12</v>
      </c>
    </row>
    <row r="233" ht="17.25" customHeight="1" s="66">
      <c r="A233" s="65" t="inlineStr">
        <is>
          <t>222103</t>
        </is>
      </c>
      <c r="B233" s="68" t="inlineStr">
        <is>
          <t>제조업</t>
        </is>
      </c>
      <c r="C233" s="68" t="inlineStr">
        <is>
          <t>인쇄 및 기록매체 복제업</t>
        </is>
      </c>
      <c r="D233" s="68" t="inlineStr">
        <is>
          <t>인쇄업</t>
        </is>
      </c>
      <c r="E233" s="68" t="inlineStr">
        <is>
          <t>경 인쇄업</t>
        </is>
      </c>
      <c r="F233" s="68" t="inlineStr">
        <is>
          <t>◦수수료 또는 계약에 의하여 각종 인쇄물을 공판 또는 마스터 제판술에 의해 인쇄하는 산업활동을 말한다.
&lt;예 시&gt;
·마스터 제판 인쇄
&lt;제 외&gt;
·스크린 인쇄(222102)
*수수료 또는 계약에 의해 각종 인쇄물 프린트(→222101)</t>
        </is>
      </c>
      <c r="G233" s="90" t="n">
        <v>92.5</v>
      </c>
      <c r="H233" s="90" t="n">
        <v>0</v>
      </c>
      <c r="I233" s="90" t="n">
        <v>10.5</v>
      </c>
    </row>
    <row r="234" ht="17.25" customHeight="1" s="66">
      <c r="A234" s="65" t="inlineStr">
        <is>
          <t>222104</t>
        </is>
      </c>
      <c r="B234" s="68" t="inlineStr">
        <is>
          <t>제조업</t>
        </is>
      </c>
      <c r="C234" s="68" t="inlineStr">
        <is>
          <t>인쇄 및 기록매체 복제업</t>
        </is>
      </c>
      <c r="D234" s="68" t="inlineStr">
        <is>
          <t>인쇄업</t>
        </is>
      </c>
      <c r="E234" s="68" t="inlineStr">
        <is>
          <t>오프셋 인쇄업</t>
        </is>
      </c>
      <c r="F234" s="68" t="inlineStr">
        <is>
          <t>◦수수료 또는 계약에 의하여 각종 인쇄물을 금속판과 고무 롤러 등으로 오프셋 간접 제판술에 의하여 인쇄하는 산업활동을 말한다. 대부분 평판인쇄 방식으로 인쇄하지만 볼록판 및 오목판 인쇄방식으로도 가능하다.
&lt;예 시&gt;
·단식 오프셋 인쇄
·오프셋 4도 인쇄
·오프셋 평판ㆍ볼록판ㆍ오목판 인쇄
&lt;제 외&gt;
·스크린 인쇄(222102)</t>
        </is>
      </c>
      <c r="G234" s="90" t="n">
        <v>92.5</v>
      </c>
      <c r="H234" s="90" t="n">
        <v>0</v>
      </c>
      <c r="I234" s="90" t="n">
        <v>9.199999999999999</v>
      </c>
    </row>
    <row r="235" ht="17.25" customHeight="1" s="66">
      <c r="A235" s="65" t="inlineStr">
        <is>
          <t>222105</t>
        </is>
      </c>
      <c r="B235" s="68" t="inlineStr">
        <is>
          <t>제조업</t>
        </is>
      </c>
      <c r="C235" s="68" t="inlineStr">
        <is>
          <t>인쇄 및 기록매체 복제업</t>
        </is>
      </c>
      <c r="D235" s="68" t="inlineStr">
        <is>
          <t>인쇄업</t>
        </is>
      </c>
      <c r="E235" s="68" t="inlineStr">
        <is>
          <t>기타 인쇄업</t>
        </is>
      </c>
      <c r="F235" s="68" t="inlineStr">
        <is>
          <t>◦경 인쇄 및 스크린 인쇄 이외의 각종 제판술에 의한 출판물 및 인쇄물을 인쇄하는 산업활동을 말한다.
&lt;예 시&gt;
·그라비아 인쇄
·석판 인쇄
·고무판 인쇄
·플라스틱판 인쇄
·활판 및 연판 인쇄
·목각판 인쇄
·특수인쇄(전사처리)
·공판 인쇄
&lt;제 외&gt;
·직접 인쇄활동을 하지 않고 인쇄용 사진 제판 및 활판, 동판, 목판, 고무판 등의 식각 및 제판활동(222203)</t>
        </is>
      </c>
      <c r="G235" s="90" t="n">
        <v>92.5</v>
      </c>
      <c r="H235" s="90" t="n">
        <v>0</v>
      </c>
      <c r="I235" s="90" t="n">
        <v>10</v>
      </c>
    </row>
    <row r="236" ht="17.25" customHeight="1" s="66">
      <c r="A236" s="65" t="inlineStr">
        <is>
          <t>222201</t>
        </is>
      </c>
      <c r="B236" s="68" t="inlineStr">
        <is>
          <t>제조업</t>
        </is>
      </c>
      <c r="C236" s="68" t="inlineStr">
        <is>
          <t>인쇄 및 기록매체 복제업</t>
        </is>
      </c>
      <c r="D236" s="68" t="inlineStr">
        <is>
          <t>인쇄관련 산업</t>
        </is>
      </c>
      <c r="E236" s="68" t="inlineStr">
        <is>
          <t>제책업</t>
        </is>
      </c>
      <c r="F236" s="68" t="inlineStr">
        <is>
          <t>◦수수료 또는 계약에 의하여 각종 서적 및 인쇄물을 제책하는 산업활동을 말한다.</t>
        </is>
      </c>
      <c r="G236" s="90" t="n">
        <v>90.59999999999999</v>
      </c>
      <c r="H236" s="90" t="n">
        <v>0</v>
      </c>
      <c r="I236" s="90" t="n">
        <v>14.2</v>
      </c>
    </row>
    <row r="237" ht="17.25" customHeight="1" s="66">
      <c r="A237" s="65" t="inlineStr">
        <is>
          <t>222202</t>
        </is>
      </c>
      <c r="B237" s="68" t="inlineStr">
        <is>
          <t>제조업</t>
        </is>
      </c>
      <c r="C237" s="68" t="inlineStr">
        <is>
          <t>인쇄 및 기록매체 복제업</t>
        </is>
      </c>
      <c r="D237" s="68" t="inlineStr">
        <is>
          <t>인쇄관련 산업</t>
        </is>
      </c>
      <c r="E237" s="68" t="inlineStr">
        <is>
          <t>기타 인쇄관련 산업</t>
        </is>
      </c>
      <c r="F237" s="68" t="inlineStr">
        <is>
          <t>◦수수료 또는 계약에 의하여 금박 처리, 엠보싱 가공, 모서리 다듬기, 재단 등의 인쇄물 가공활동 및 기타 인쇄관련 서비스업을 말한다.
&lt;예 시&gt;
·금박 처리(인쇄물)
·엠보싱 가공(인쇄물)
·모서리 다듬기(인쇄물)
·재단 및 인쇄물 기타 가공</t>
        </is>
      </c>
      <c r="G237" s="90" t="n">
        <v>89.59999999999999</v>
      </c>
      <c r="H237" s="90" t="n">
        <v>0</v>
      </c>
      <c r="I237" s="90" t="n">
        <v>11</v>
      </c>
    </row>
    <row r="238" ht="17.25" customHeight="1" s="66">
      <c r="A238" s="65" t="inlineStr">
        <is>
          <t>222203</t>
        </is>
      </c>
      <c r="B238" s="68" t="inlineStr">
        <is>
          <t>제조업</t>
        </is>
      </c>
      <c r="C238" s="68" t="inlineStr">
        <is>
          <t>인쇄 및 기록매체 복제업</t>
        </is>
      </c>
      <c r="D238" s="68" t="inlineStr">
        <is>
          <t>인쇄관련 산업</t>
        </is>
      </c>
      <c r="E238" s="68" t="inlineStr">
        <is>
          <t>제판 및 조판업</t>
        </is>
      </c>
      <c r="F238" s="68" t="inlineStr">
        <is>
          <t>◦수수료 또는 계약에 의하여 사진 식자, 전산 식자와 각종 인쇄용 사진원판 제작, 연판, 고무판, 플라스틱판, 동판, 목판, 석판 등의 각종 제판 및 조판작업을 수행하는 산업활동을 말한다.
&lt;예 시&gt;
·전산 식자 제판
·인쇄용 사진 제판
·디지털 제판
·인쇄용 활판, 동판, 고무판 식각
&lt;제 외&gt;
·인쇄 목적 이외의 금속 식각 활동(289205)</t>
        </is>
      </c>
      <c r="G238" s="90" t="n">
        <v>89.59999999999999</v>
      </c>
      <c r="H238" s="90" t="n">
        <v>0</v>
      </c>
      <c r="I238" s="90" t="n">
        <v>9.1</v>
      </c>
    </row>
    <row r="239" ht="17.25" customHeight="1" s="66">
      <c r="A239" s="65" t="inlineStr">
        <is>
          <t>223001</t>
        </is>
      </c>
      <c r="B239" s="68" t="inlineStr">
        <is>
          <t>제조업</t>
        </is>
      </c>
      <c r="C239" s="68" t="inlineStr">
        <is>
          <t>인쇄 및 기록매체 복제업</t>
        </is>
      </c>
      <c r="D239" s="68" t="inlineStr">
        <is>
          <t>기록매체 복제업</t>
        </is>
      </c>
      <c r="E239" s="68" t="inlineStr">
        <is>
          <t>기록매체 복제업</t>
        </is>
      </c>
      <c r="F239" s="68" t="inlineStr">
        <is>
          <t>◦음반 및 기타 오디오물, 비디오물, 소프트웨어 및 컴퓨터 호환성 테이프의 원판을 복사하여 이들의 복제품을 생산하는 활동으로서 플로피, 하드 디스크, 콤팩트디스크의 복제품, 범용성 소프트웨어 및 필름의 복제품을 생산하는 산업활동을 말한다. 또한, 수수료 또는 계약에 의하여 각종 기록매체를 복제하는 활동도 포함한다.
&lt;예 시&gt;
·소프트웨어(범용성) 복제
·전산 기록물 복제
·음반 복제
·비디오물 복제
·레이저 광학 판독장치를 가진 기록매체 복제
&lt;제 외&gt;
·수수료 또는 계약에 의한 레코드 원판 녹음활동(924901)
·영화 상영용 필름 복제 생산(921503)</t>
        </is>
      </c>
      <c r="G239" s="90" t="n">
        <v>89.7</v>
      </c>
      <c r="H239" s="90" t="n">
        <v>0</v>
      </c>
      <c r="I239" s="90" t="n">
        <v>15.7</v>
      </c>
    </row>
    <row r="240" ht="17.25" customHeight="1" s="66">
      <c r="A240" s="65" t="inlineStr">
        <is>
          <t>231001</t>
        </is>
      </c>
      <c r="B240" s="68" t="inlineStr">
        <is>
          <t>제조업</t>
        </is>
      </c>
      <c r="C240" s="68" t="inlineStr">
        <is>
          <t>코크스, 연탄 및 석유정제품 제조업</t>
        </is>
      </c>
      <c r="D240" s="68" t="inlineStr">
        <is>
          <t>코크스 및 연탄 제조업</t>
        </is>
      </c>
      <c r="E240" s="68" t="inlineStr">
        <is>
          <t>코크스 및 연탄 제조업</t>
        </is>
      </c>
      <c r="F240" s="68" t="inlineStr">
        <is>
          <t>◦석탄, 갈탄, 토탄 등을 코크스로에서 처리하여 코크스 또는 반성 코크스, 피치 및 피치 코크스, 콜타르, 건류 카본(레토르트 카본, 가스 카본) 등을 생산하는 산업활동을 말한다. 코크스의 응집처리 활동도 포함한다.
&lt;예 시&gt;
·코크스로(爐) 운영
·코크스 응집처리
·코크스로 미정제 가스 제조
·석탄 증류 타르 제조
·광물성 타르 제조
·토탄 증류 타르 제조
&lt;제 외&gt;
·콜타르 증류 활동(241106)
·석탄 가스, 수성가스, 발생로 가스 및 기타 연료용 제조가스 생산활동(402001)</t>
        </is>
      </c>
      <c r="G240" s="90" t="n">
        <v>95.3</v>
      </c>
      <c r="H240" s="90" t="n">
        <v>0</v>
      </c>
      <c r="I240" s="90" t="n">
        <v>21.7</v>
      </c>
    </row>
    <row r="241" ht="17.25" customHeight="1" s="66">
      <c r="A241" s="65" t="inlineStr">
        <is>
          <t>231002</t>
        </is>
      </c>
      <c r="B241" s="68" t="inlineStr">
        <is>
          <t>제조업</t>
        </is>
      </c>
      <c r="C241" s="68" t="inlineStr">
        <is>
          <t>코크스, 연탄 및 석유정제품 제조업</t>
        </is>
      </c>
      <c r="D241" s="68" t="inlineStr">
        <is>
          <t>코크스 및 연탄 제조업</t>
        </is>
      </c>
      <c r="E241" s="68" t="inlineStr">
        <is>
          <t>코크스 및 연탄 제조업</t>
        </is>
      </c>
      <c r="F241" s="68" t="inlineStr">
        <is>
          <t>◦석탄과 코크스, 숯가루, 피치 등의 탄화물을 배합하거나, 당밀, 전분, 펄프, 석회 등의 점결제 등을 혼합하여 성형 건조시킨 고체 연료를 제조하는 산업활동을 말한다.
&lt;예 시&gt;
·연탄 제조
·응집 석탄제품 제조
·조개탄 제조
·피치 연탄 제조</t>
        </is>
      </c>
      <c r="G241" s="90" t="n">
        <v>98.2</v>
      </c>
      <c r="H241" s="90" t="n">
        <v>0</v>
      </c>
      <c r="I241" s="90" t="n">
        <v>21.7</v>
      </c>
    </row>
    <row r="242" ht="17.25" customHeight="1" s="66">
      <c r="A242" s="65" t="inlineStr">
        <is>
          <t>232100</t>
        </is>
      </c>
      <c r="B242" s="68" t="inlineStr">
        <is>
          <t>제조업</t>
        </is>
      </c>
      <c r="C242" s="68" t="inlineStr">
        <is>
          <t>코크스, 연탄 및 석유정제품 제조업</t>
        </is>
      </c>
      <c r="D242" s="68" t="inlineStr">
        <is>
          <t>원유 정제처리업</t>
        </is>
      </c>
      <c r="E242" s="68" t="inlineStr">
        <is>
          <t>원유 정제처리업</t>
        </is>
      </c>
      <c r="F242" s="68" t="inlineStr">
        <is>
          <t>◦원유 및 역청 물질을 정제 및 기타 처리하여 석유 정제품 및 관련 제품을 제조하는 산업활동을 말한다.
&lt;예 시&gt;
·가솔린, 경유, 등유 제조
·윤활유 기유 제조
·나프타 제조     
·석유 정제 가스 제조
·연료유 제조
·중유 및 벙커C유 제조
&lt;제 외&gt;
·구입한 석유 정제품 및 분할물을 재처리하여 석유정제 관련제품 생산(232201)</t>
        </is>
      </c>
      <c r="G242" s="90" t="n">
        <v>91.09999999999999</v>
      </c>
      <c r="H242" s="90" t="n">
        <v>0</v>
      </c>
      <c r="I242" s="90" t="n">
        <v>10.5</v>
      </c>
    </row>
    <row r="243" ht="17.25" customHeight="1" s="66">
      <c r="A243" s="65" t="inlineStr">
        <is>
          <t>232101</t>
        </is>
      </c>
      <c r="B243" s="68" t="inlineStr">
        <is>
          <t>제조업</t>
        </is>
      </c>
      <c r="C243" s="68" t="inlineStr">
        <is>
          <t>화학 물질 및 화학제품 제조업: 의약품 제외</t>
        </is>
      </c>
      <c r="D243" s="68" t="inlineStr">
        <is>
          <t>기초 무기화학 물질 제조업</t>
        </is>
      </c>
      <c r="E243" s="68" t="inlineStr">
        <is>
          <t>기타 기초 무기화학 물질 제조업</t>
        </is>
      </c>
      <c r="F243" s="68" t="inlineStr">
        <is>
          <t>◦방사성원소, 방사성동위원소와 이들의 화합물
 ·동위원소무기화합물제조, 동위원소유기화합물제조, 방사성원소화합물제조
◦천연우라늄 및 그 화합물
 ·천연우라늄화합물제조
◦우라늄을 농축한 우라늄 및 그 화합물
 ·우라늄합금제조, 우라늄화합물제조, 우라늄금속추출물제조
◦플루토늄 및 그 화합물
 ·플루토늄농축물제조, 플루토늄합금제조</t>
        </is>
      </c>
      <c r="G243" s="90" t="n">
        <v>91.09999999999999</v>
      </c>
      <c r="H243" s="90" t="n">
        <v>0</v>
      </c>
      <c r="I243" s="90" t="n">
        <v>10.5</v>
      </c>
    </row>
    <row r="244" ht="17.25" customHeight="1" s="66">
      <c r="A244" s="65" t="inlineStr">
        <is>
          <t>232200</t>
        </is>
      </c>
      <c r="B244" s="68" t="inlineStr">
        <is>
          <t>제조업</t>
        </is>
      </c>
      <c r="C244" s="68" t="inlineStr">
        <is>
          <t>코크스, 연탄 및 석유정제품 제조업</t>
        </is>
      </c>
      <c r="D244" s="68" t="inlineStr">
        <is>
          <t>석유 정제물 재처리업</t>
        </is>
      </c>
      <c r="E244" s="68" t="inlineStr">
        <is>
          <t>윤활유 및 그리스 제조업</t>
        </is>
      </c>
      <c r="F244" s="68" t="inlineStr">
        <is>
          <t>◦원유 및 역청 물질의 일괄 정제과정에서 얻어지는 윤활유 기유 또는 기타 역청 물질을 처리하여 석유 성분의 윤활유, 그리스 및 유사 제품을 생산하는 산업활동을 말한다. 재생 윤활유 및 그리스 등 생산활동(중량 기준으로 석유 및 역청유 성분 함유량이 70% 이상인 경우)도 포함한다.
&lt;예 시&gt;
·윤활유 제조
·그리스 제조
·재생 윤활유 제조
·재생 그리스 제조
&lt;제 외&gt;
·조제 윤활유 및 그리스 제조(242903)</t>
        </is>
      </c>
      <c r="G244" s="90" t="n">
        <v>95.8</v>
      </c>
      <c r="H244" s="90" t="n">
        <v>0</v>
      </c>
      <c r="I244" s="90" t="n">
        <v>11</v>
      </c>
    </row>
    <row r="245" ht="17.25" customHeight="1" s="66">
      <c r="A245" s="65" t="inlineStr">
        <is>
          <t>232201</t>
        </is>
      </c>
      <c r="B245" s="68" t="inlineStr">
        <is>
          <t>제조업</t>
        </is>
      </c>
      <c r="C245" s="68" t="inlineStr">
        <is>
          <t>코크스, 연탄 및 석유정제품 제조업</t>
        </is>
      </c>
      <c r="D245" s="68" t="inlineStr">
        <is>
          <t>석유 정제물 재처리업</t>
        </is>
      </c>
      <c r="E245" s="68" t="inlineStr">
        <is>
          <t>기타 석유 정제물 재처리업</t>
        </is>
      </c>
      <c r="F245" s="68" t="inlineStr">
        <is>
          <t>◦원유 및 역청유의 일괄 정제과정에서 얻어지는 석유정제 분획물 및 잔유물, 기타 광물성 역청 물질을 재정유, 혼합, 조합 및 기타 재처리하여 윤활유 및 그리스(grease)를 제외한 기타 석유 정제품을 생산하는 산업활동을 말한다. 석유 아스팔트 물질과 이를 공기 변성한 것, 용제◦유화제, 수지 등을 첨가한 것도 포함한다.
&lt;예 시&gt;
·석유 왁스 생산
·석유 아스팔트 물질 제조
·감압식 석유 물질 처리
·잔사유 재정유 처리
·재생용 유류 정제품(재생 윤활유 및 그리스 제외) 제조
·석유 코크스 제조
·가소홀(무연 휘발유 및 에탄올 혼합물) 제조
·석유 젤리, 백유(white spirit, white oil) 제조
·스트레이트 아스팔트, 블론 아스팔트, 컷백 아스팔트, 유화 아스팔트, 개질 아스팔트 제조</t>
        </is>
      </c>
      <c r="G245" s="90" t="n">
        <v>95.8</v>
      </c>
      <c r="H245" s="90" t="n">
        <v>0</v>
      </c>
      <c r="I245" s="90" t="n">
        <v>11</v>
      </c>
    </row>
    <row r="246" ht="17.25" customHeight="1" s="66">
      <c r="A246" s="65" t="inlineStr">
        <is>
          <t>241101</t>
        </is>
      </c>
      <c r="B246" s="68" t="inlineStr">
        <is>
          <t>제조업</t>
        </is>
      </c>
      <c r="C246" s="68" t="inlineStr">
        <is>
          <t>화학 물질 및 화학제품 제조업: 의약품 제외</t>
        </is>
      </c>
      <c r="D246" s="68" t="inlineStr">
        <is>
          <t>기초 무기화학 물질 제조업</t>
        </is>
      </c>
      <c r="E246" s="68" t="inlineStr">
        <is>
          <t>수소 제조업, 산소, 질소 및 기타 산업용 가스 제조업</t>
        </is>
      </c>
      <c r="F246" s="68" t="inlineStr">
        <is>
          <t>◦수소, 산업용 압축, 액화 또는 냉동 공기, 원소 가스, 혼합 가스 등을 제조하는 산업활동을 말한다.
&lt;예 시&gt;
·질소, 아르곤, 네온 가스 제조
·희소 가스 제조
·크세논(제논) 가스 제조       
·크립톤 가스 제조
·아세틸렌 가스 제조
·드라이아이스 제조         
·단일원소의 산업용 가스
·각 원소의 혼합 가스 제조
·흡입용산소제조
&lt;제 외&gt;
·연료용 가스의 생산(천연 가스, 석유 가스, 석탄 가스 등)은 그 생산방법에 따라 각각 해당산업활동으로 분류
·구입한 산업용 가스 도매업(514919)</t>
        </is>
      </c>
      <c r="G246" s="90" t="n">
        <v>89.3</v>
      </c>
      <c r="H246" s="90" t="n">
        <v>0</v>
      </c>
      <c r="I246" s="90" t="n">
        <v>16.7</v>
      </c>
    </row>
    <row r="247" ht="17.25" customHeight="1" s="66">
      <c r="A247" s="65" t="inlineStr">
        <is>
          <t>241102</t>
        </is>
      </c>
      <c r="B247" s="68" t="inlineStr">
        <is>
          <t>제조업</t>
        </is>
      </c>
      <c r="C247" s="68" t="inlineStr">
        <is>
          <t>화학 물질 및 화학제품 제조업: 의약품 제외</t>
        </is>
      </c>
      <c r="D247" s="68" t="inlineStr">
        <is>
          <t>기초 무기화학 물질 제조업</t>
        </is>
      </c>
      <c r="E247" s="68" t="inlineStr">
        <is>
          <t>기타 기초 무기화학 물질 제조업</t>
        </is>
      </c>
      <c r="F247" s="68" t="inlineStr">
        <is>
          <t>◦무기화학 원소, 무기산 및 금속◦비금속 산화물(무기염료용 금속산화물 제외), 알칼리 및 기타 기초 무기 화합물을 제조하는 산업활동을 말한다. 
&lt;예 시&gt;
·아세틸렌블랙 제조
·이산화규소 제조
·이산화황 제조
·붕소 산화물과 붕산 제조
·비금속 황화물 제조
·과산화수소 제조
·수은 제조
·카본블랙 제조
·탄화칼슘 및 탄화물 제조  
·규소 및 염소 제조
·압전기용 석영 제조
·정제한 황 제조
·배소한 황화철광 제조
·비금속 할로겐 화합물 및 황화물 제조
·무수 암모니아 또는 암모니아수 제조  
·알루미늄·마그네슘·스트론튬·바륨 산화물 및 과산화물 제조
·금속산염 또는 과산화금속염 제조
·합성 또는 재생 귀석 또는 반귀석 제조
&lt;제 외&gt;
·산업용 가스 제조(241101)
·무기 안료용 및 금속 산화물 및 관련제품 제조(241109)
·비료 및 질소 화합물 제조(241200~241202)
*방사성원소, 방사성동위원소, 천연우라늄, 우라늄, 플루토늄 및 그 화합물 제조(→232101)
*가성소다 제조(→241105)</t>
        </is>
      </c>
      <c r="G247" s="90" t="n">
        <v>90.7</v>
      </c>
      <c r="H247" s="90" t="n">
        <v>0</v>
      </c>
      <c r="I247" s="90" t="n">
        <v>16.7</v>
      </c>
    </row>
    <row r="248" ht="17.25" customHeight="1" s="66">
      <c r="A248" s="65" t="inlineStr">
        <is>
          <t>241105</t>
        </is>
      </c>
      <c r="B248" s="68" t="inlineStr">
        <is>
          <t>제조업</t>
        </is>
      </c>
      <c r="C248" s="68" t="inlineStr">
        <is>
          <t>화학 물질 및 화학제품 제조업: 의약품 제외</t>
        </is>
      </c>
      <c r="D248" s="68" t="inlineStr">
        <is>
          <t>기초 무기화학 물질 제조업</t>
        </is>
      </c>
      <c r="E248" s="68" t="inlineStr">
        <is>
          <t>기타 기초 무기화학 물질 제조업</t>
        </is>
      </c>
      <c r="F248" s="68" t="inlineStr">
        <is>
          <t xml:space="preserve">◦가성소다
&lt;예 시&gt;
·가성칼륨(수산화칼륨), 수산화나트륨, 전해가성소다 </t>
        </is>
      </c>
      <c r="G248" s="90" t="n">
        <v>92.8</v>
      </c>
      <c r="H248" s="90" t="n">
        <v>0</v>
      </c>
      <c r="I248" s="90" t="n">
        <v>15.9</v>
      </c>
    </row>
    <row r="249" ht="17.25" customHeight="1" s="66">
      <c r="A249" s="65" t="inlineStr">
        <is>
          <t>241106</t>
        </is>
      </c>
      <c r="B249" s="68" t="inlineStr">
        <is>
          <t>제조업</t>
        </is>
      </c>
      <c r="C249" s="68" t="inlineStr">
        <is>
          <t>화학 물질 및 화학제품 제조업: 의약품 제외</t>
        </is>
      </c>
      <c r="D249" s="68" t="inlineStr">
        <is>
          <t>기초 유기화학 물질 제조업</t>
        </is>
      </c>
      <c r="E249" s="68" t="inlineStr">
        <is>
          <t>기타 기초 유기 화학물질 제조업</t>
        </is>
      </c>
      <c r="F249" s="68" t="inlineStr">
        <is>
          <t>◦콜타르 및 기타 광물타르를 고온으로 처리하여 석탄화학계 기초 화학 물질을 제조하거나 알코올 및 기타 기초 유기 화합물을 제조하는 산업활동을 말한다.
&lt;예 시&gt;
·벤젠, 크실렌, 나프탈렌, 페놀 및 톨루엔 제조
·콜타르 분류(分溜) 잔재물(피치) 제조
·솔벤트 나프타 제조
·광물타르 증류 생산물 제조
·아민 관능 화합물 제조
·우레인 및 그 유도체 제조  
·효소 및 기타 효소제품 제조
·질소 관능 화합물 제조       
·알데히드, 퀴논 관능 화합물 제조
·모노카르복시산 및 그 유도체 제조    
·페놀 및 그 유도체 제조
·부탄올, 에탄올, 옥탄올, 메탄올 제조   
·무기산 에스테르 및 그 염과 유도체 제조
·유기 황화합물 및 기타 유기·무기 화합물 제조
·에텔, 과산화알코올, 과산화에텔, 에폭시드아세탈 및 그 유도체 제조
·산소 관능 아미노 화합물(리신과 그 에스테르 및 그 염 제외) 제조
&lt;제 외&gt;
·석유화학계 방향족 화합물(벤젠, 톨루엔 등) 제조(241110)
·톨오일, 수탄 및 폐수탄 제조(241114)
·활성화된 광물성 제품 제조(242907)</t>
        </is>
      </c>
      <c r="G249" s="90" t="n">
        <v>91.40000000000001</v>
      </c>
      <c r="H249" s="90" t="n">
        <v>0</v>
      </c>
      <c r="I249" s="90" t="n">
        <v>10.3</v>
      </c>
    </row>
    <row r="250" ht="17.25" customHeight="1" s="66">
      <c r="A250" s="65" t="inlineStr">
        <is>
          <t>241109</t>
        </is>
      </c>
      <c r="B250" s="68" t="inlineStr">
        <is>
          <t>제조업</t>
        </is>
      </c>
      <c r="C250" s="68" t="inlineStr">
        <is>
          <t>화학 물질 및 화학제품 제조업: 의약품 제외</t>
        </is>
      </c>
      <c r="D250" s="68" t="inlineStr">
        <is>
          <t>무기 안료, 염료, 유연제 및 기타 착색제 제조업</t>
        </is>
      </c>
      <c r="E250" s="68" t="inlineStr">
        <is>
          <t>무기 안료용 금속 산화물 및 관련 제품 제조업</t>
        </is>
      </c>
      <c r="F250" s="68" t="inlineStr">
        <is>
          <t>◦무기 안료용으로 주로 사용되는 금속 산화물 및 각종 무기 염기를 제조하는 산업활동을 말한다.
&lt;예 시&gt;
·산화 아연·망가니즈·티타늄 제조
·산화철과 수산화철 제조
·산화 니켈·텅스텐 제조
·색소토 가공품 제조
&lt;제 외&gt;
·알루미늄·마그네슘·스트론튬·바륨 산화물 제조(241102)
·조제 무기안료 제조(241115)</t>
        </is>
      </c>
      <c r="G250" s="90" t="n">
        <v>90.7</v>
      </c>
      <c r="H250" s="90" t="n">
        <v>0</v>
      </c>
      <c r="I250" s="90" t="n">
        <v>16.7</v>
      </c>
    </row>
    <row r="251" ht="17.25" customHeight="1" s="66">
      <c r="A251" s="65" t="inlineStr">
        <is>
          <t>241110</t>
        </is>
      </c>
      <c r="B251" s="68" t="inlineStr">
        <is>
          <t>제조업</t>
        </is>
      </c>
      <c r="C251" s="68" t="inlineStr">
        <is>
          <t>화학 물질 및 화학제품 제조업: 의약품 제외</t>
        </is>
      </c>
      <c r="D251" s="68" t="inlineStr">
        <is>
          <t>기초 유기화학 물질 제조업</t>
        </is>
      </c>
      <c r="E251" s="68" t="inlineStr">
        <is>
          <t>석유화학계 기초 화학 물질 제조업</t>
        </is>
      </c>
      <c r="F251" s="68" t="inlineStr">
        <is>
          <t>◦석유 또는 석유 부생가스 중에 함유된 탄화수소를 분해◦분리 또는 기타 화학 처리하여 석유화학계 기초제품과 그 유도체를 생산하는 산업활동을 말한다. 석유화학계 기초제품 제조에 연관된 지방족계 또는 방향족계 유도품 등을 제조하는 경우에도 여기에 포함한다.
&lt;예 시&gt;
·탄화수소 지방족 화합물(에틸렌, 프로필렌, 부타디엔 등) 제조
·탄화수소 방향족 화합물(벤젠, 톨루엔, 자일렌, 스티렌 등) 제조
·탄화수소 할로겐화 유도체 제조
·탄화수소 질산화 유도체 제조
·탄화수소 유황화 유도체 제조
&lt;제 외&gt;
·콜타르 증류 생산품 제조(241106)</t>
        </is>
      </c>
      <c r="G251" s="90" t="n">
        <v>91.40000000000001</v>
      </c>
      <c r="H251" s="90" t="n">
        <v>0</v>
      </c>
      <c r="I251" s="90" t="n">
        <v>10.3</v>
      </c>
    </row>
    <row r="252" ht="17.25" customHeight="1" s="66">
      <c r="A252" s="65" t="inlineStr">
        <is>
          <t>241114</t>
        </is>
      </c>
      <c r="B252" s="68" t="inlineStr">
        <is>
          <t>제조업</t>
        </is>
      </c>
      <c r="C252" s="68" t="inlineStr">
        <is>
          <t>화학 물질 및 화학제품 제조업: 의약품 제외</t>
        </is>
      </c>
      <c r="D252" s="68" t="inlineStr">
        <is>
          <t>기초 유기화학 물질 제조업</t>
        </is>
      </c>
      <c r="E252" s="68" t="inlineStr">
        <is>
          <t>바이오매스계 기초 화학물질 제조업</t>
        </is>
      </c>
      <c r="F252" s="68" t="inlineStr">
        <is>
          <t>◦천연수지, 나무 및 식물성 피치 등을 증류하여 유연제 엑스를 제외한 증류 물질 및 기타 관련 제품을 제조하는 산업활동을 말한다. 톨유(tall oil), 수탄 및 폐수탄 제품의 생산활동도 포함한다.
&lt;예 시&gt;
·목탄(쉘 또는 너트 모양의 탄 포함) 제조
·목타르, 목타르유, 목크레오소트(creosote), 목나프타, 식물성 피치 제조
·로진·수지산 또는 식물성 피치 조제품 제조
·톨유(tall oil) 제조
·수탄(animal charcoal, 獸炭) 제조
&lt;제 외&gt;
·착화탄 제조(369906)
·활성탄, 활성처리한 광물성 물질 제조(242907)</t>
        </is>
      </c>
      <c r="G252" s="90" t="n">
        <v>91.40000000000001</v>
      </c>
      <c r="H252" s="90" t="n">
        <v>0</v>
      </c>
      <c r="I252" s="90" t="n">
        <v>10.3</v>
      </c>
    </row>
    <row r="253" ht="17.25" customHeight="1" s="66">
      <c r="A253" s="65" t="inlineStr">
        <is>
          <t>241115</t>
        </is>
      </c>
      <c r="B253" s="68" t="inlineStr">
        <is>
          <t>제조업</t>
        </is>
      </c>
      <c r="C253" s="68" t="inlineStr">
        <is>
          <t>화학 물질 및 화학제품 제조업: 의약품 제외</t>
        </is>
      </c>
      <c r="D253" s="68" t="inlineStr">
        <is>
          <t>무기 안료, 염료, 유연제 및 기타 착색제 제조업</t>
        </is>
      </c>
      <c r="E253" s="68" t="inlineStr">
        <is>
          <t>염료, 조제 무기 안료, 유연제 및 기타 착색제 제조업</t>
        </is>
      </c>
      <c r="F253" s="68" t="inlineStr">
        <is>
          <t>◦동◦식물성 재료를 이용한 염료용◦유연제용 추출물, 유연제로 사용되는 타닌(tannin), 이들을 유기 용제 등으로 추출한 물질, 합성 또는 조제 유연제 및 유연처리 이전에 사용하는 효소계 조제품, 합성 유기 염료, 조제 무기 안료 및 기타 착색제를 제조하는 산업활동을 말한다.
&lt;예 시&gt;
·동물성 착색제 제조
·염료용 동ㆍ식물성 추출물 제조
·섬유 유연제 제조
·피혁 유연제 제조
·스틸벤(stilbene) 염료 제조
·니트로조(nitroso) 및 니트로(nitro)염료 제조   
·퀴논이민(quinonimin) 염료 제조
·모노 및 폴리아조(azo) 염료 제조
&lt;제 외&gt;
·무기 안료 및 금속 산화물 제조(241109)
·요업용 조제 안료 및 조제 유백제 제조(242205)</t>
        </is>
      </c>
      <c r="G253" s="90" t="n">
        <v>91.40000000000001</v>
      </c>
      <c r="H253" s="90" t="n">
        <v>0</v>
      </c>
      <c r="I253" s="90" t="n">
        <v>10.3</v>
      </c>
    </row>
    <row r="254" ht="17.25" customHeight="1" s="66">
      <c r="A254" s="65" t="inlineStr">
        <is>
          <t>241200</t>
        </is>
      </c>
      <c r="B254" s="68" t="inlineStr">
        <is>
          <t>제조업</t>
        </is>
      </c>
      <c r="C254" s="68" t="inlineStr">
        <is>
          <t>화학 물질 및 화학제품 제조업: 의약품 제외</t>
        </is>
      </c>
      <c r="D254" s="68" t="inlineStr">
        <is>
          <t>비료 및 질소 화합물 제조업</t>
        </is>
      </c>
      <c r="E254" s="68" t="inlineStr">
        <is>
          <t>복합비료 및 기타 화학비료 제조업</t>
        </is>
      </c>
      <c r="F254" s="68" t="inlineStr">
        <is>
          <t>◦화학비료의 3대 요소인 질소, 인, 칼륨 중 두 가지 이상의 성분을 함유한 비료를 직접 생산하거나 서로 다른 무기질 비료 성분을 구입◦배합하여 복합비료를 생산하는 산업활동을 말한다. 그 외 기타 화학비료를 제조하는 산업활동을 포함한다.
&lt;예 시&gt;
·복합비료 제조(무기질)
&lt;제 외&gt;
·유기질 질소비료와 무기질 비료의 혼합비료 제조(241202)</t>
        </is>
      </c>
      <c r="G254" s="90" t="n">
        <v>91.40000000000001</v>
      </c>
      <c r="H254" s="90" t="n">
        <v>0</v>
      </c>
      <c r="I254" s="90" t="n">
        <v>15</v>
      </c>
    </row>
    <row r="255" ht="17.25" customHeight="1" s="66">
      <c r="A255" s="65" t="inlineStr">
        <is>
          <t>241201</t>
        </is>
      </c>
      <c r="B255" s="68" t="inlineStr">
        <is>
          <t>제조업</t>
        </is>
      </c>
      <c r="C255" s="68" t="inlineStr">
        <is>
          <t>화학 물질 및 화학제품 제조업: 의약품 제외</t>
        </is>
      </c>
      <c r="D255" s="68" t="inlineStr">
        <is>
          <t>비료 및 질소 화합물 제조업</t>
        </is>
      </c>
      <c r="E255" s="68" t="inlineStr">
        <is>
          <t>질소 화합물, 질소ㆍ인산 및 칼리질 화학비료 제조업</t>
        </is>
      </c>
      <c r="F255" s="68" t="inlineStr">
        <is>
          <t>◦무기질 질소 비료 및 질소 화합물을 제조하거나 비료용 광물 및 기초 화합물을 화학 처리하여 인산질 또는 칼리질을 함유한 화학비료를 제조하는 산업활동을 말한다.
&lt;예 시&gt;
·질소질 비료 제조(무기질)
·질소 화합물 제조
·인산질 비료 제조
·칼리질 비료 제조  
·질산, 암모니아, 요소, 황산암모늄, 질산칼륨(초석) 제조
&lt;제 외&gt;
·유기질 질소비료 제조(241202)</t>
        </is>
      </c>
      <c r="G255" s="90" t="n">
        <v>91.40000000000001</v>
      </c>
      <c r="H255" s="90" t="n">
        <v>0</v>
      </c>
      <c r="I255" s="90" t="n">
        <v>16.7</v>
      </c>
    </row>
    <row r="256" ht="17.25" customHeight="1" s="66">
      <c r="A256" s="65" t="inlineStr">
        <is>
          <t>241202</t>
        </is>
      </c>
      <c r="B256" s="68" t="inlineStr">
        <is>
          <t>제조업</t>
        </is>
      </c>
      <c r="C256" s="68" t="inlineStr">
        <is>
          <t>화학 물질 및 화학제품 제조업: 의약품 제외</t>
        </is>
      </c>
      <c r="D256" s="68" t="inlineStr">
        <is>
          <t>비료 및 질소 화합물 제조업</t>
        </is>
      </c>
      <c r="E256" s="68" t="inlineStr">
        <is>
          <t>유기질 비료 및 상토 제조업</t>
        </is>
      </c>
      <c r="F256" s="68" t="inlineStr">
        <is>
          <t>◦천연 동◦식물성 물질을 화학적으로 처리하여 유기질 비료를 제조하거나 유◦무기질 비료의 배합물, 화분용 배합토, 구아노 화학처리, 비료용 광물슬래그 가공품, 상토 등 토질 개량용 토사석 조제품을 제조하는 산업활동을 말한다. 미량 요소 성분을 함유한 광물을 화학처리하거나 성분을 조정◦배합하여 특별히 비료용으로 제조한 경우 및 부산물, 분뇨, 음식물류 폐기물, 토양 미생물 제제, 토양 활성제 등을 이용하여 제조한 비료도 포함한다.
&lt;예 시&gt;
·유기질 비료 제조
·유기 및 무기질 비료 배합물 제조
·부산물 비료 제조
·토질개량용 토사석 조제품 제조
·상토 제조     
·음식 폐기물, 톱밥, 돈분 등을 혼합·발효한 퇴비 제조
·염기성 제강 슬래그 가공품 제조
&lt;제 외&gt;
·농축산물 폐기물 처리장 운영(900101)</t>
        </is>
      </c>
      <c r="G256" s="90" t="n">
        <v>91.40000000000001</v>
      </c>
      <c r="H256" s="90" t="n">
        <v>0</v>
      </c>
      <c r="I256" s="90" t="n">
        <v>16.7</v>
      </c>
    </row>
    <row r="257" ht="17.25" customHeight="1" s="66">
      <c r="A257" s="65" t="inlineStr">
        <is>
          <t>241301</t>
        </is>
      </c>
      <c r="B257" s="68" t="inlineStr">
        <is>
          <t>제조업</t>
        </is>
      </c>
      <c r="C257" s="68" t="inlineStr">
        <is>
          <t>화학 물질 및 화학제품 제조업: 의약품 제외</t>
        </is>
      </c>
      <c r="D257" s="68" t="inlineStr">
        <is>
          <t>합성고무 및 플라스틱 물질 제조업</t>
        </is>
      </c>
      <c r="E257" s="68" t="inlineStr">
        <is>
          <t>합성고무 제조업</t>
        </is>
      </c>
      <c r="F257" s="68" t="inlineStr">
        <is>
          <t>◦합성고무(라텍스 포함)와 식물성 기름에서 유도되는 팩티스, 천연고무 및 유사 천연검의 혼합물을 제조하는 산업활동을 말한다.
&lt;예 시&gt;
·부타디엔고무(BR) 제조
·클로로프렌고무(CR) 제조     
·아크릴로니트릴-이소프렌 고무 제조
·천연 및 합성고무 혼합물 제조     
·식물성 기름에서 유도된 팩티스 제조
·아이소프렌고무(IR) 제조     
·스티렌-부타디엔 고무(SBR) 제조
·아크릴로니트릴-부타디엔고무 제조</t>
        </is>
      </c>
      <c r="G257" s="90" t="n">
        <v>92.8</v>
      </c>
      <c r="H257" s="90" t="n">
        <v>0</v>
      </c>
      <c r="I257" s="90" t="n">
        <v>12.4</v>
      </c>
    </row>
    <row r="258" ht="17.25" customHeight="1" s="66">
      <c r="A258" s="65" t="inlineStr">
        <is>
          <t>241302</t>
        </is>
      </c>
      <c r="B258" s="68" t="inlineStr">
        <is>
          <t>제조업</t>
        </is>
      </c>
      <c r="C258" s="68" t="inlineStr">
        <is>
          <t>화학 물질 및 화학제품 제조업: 의약품 제외</t>
        </is>
      </c>
      <c r="D258" s="68" t="inlineStr">
        <is>
          <t>합성고무 및 플라스틱 물질 제조업</t>
        </is>
      </c>
      <c r="E258" s="68" t="inlineStr">
        <is>
          <t>합성수지 및 기타 플라스틱 물질 제조업</t>
        </is>
      </c>
      <c r="F258" s="68" t="inlineStr">
        <is>
          <t>◦화학적 합성방법에 의하여 액상, 분말, 입상 및 기타 원료 상태의 합성수지(플라스틱 소재 물질)를 제조하거나 1차 형태의 천연 중합체(알긴산 등)◦경화 단백질 및 천연고무의 화학적 유도체인 변성 천연 중합체◦섬유소(셀룰로오스) 및 재생 섬유소와 이들의 화학적 유도체 등 기타 플라스틱 소재 물질을 제조하는 산업활동을 말한다. 합성수지 및 기타 플라스틱 소재 물질을 자체 생산하고, 유리섬유, 탄소섬유, 금속 분말 등의 첨가제 및 각종 강화제 등을 혼합하여 혼성 플라스틱 소재 물질을 연관 공정으로 제조하는 경우도 포함한다.
&lt;예 시&gt;
·에틸렌 중합체 제조
·폴리아미드 제조
·스티렌 중합체 제조     
·아미노수지 제조
·에폭시수지 제조
·폴리우레탄 제조     
·프로필렌 중합체 제조
·초산비닐 중합체 제조
·페놀수지 제조     
·실리콘수지 제조
·폴리에스터수지 제조
·아크릴 중합체 제조
·재생셀룰로오스 제조
·알긴산과 그 염 및 에스테르 제조     
·셀룰로오스 에테르 제조
·변성 천연 중합체 제조
·이온교환수지 제조     
·초산셀룰로오스 제조
·엔지니어링 플라스틱수지 제조</t>
        </is>
      </c>
      <c r="G258" s="90" t="n">
        <v>89.59999999999999</v>
      </c>
      <c r="H258" s="90" t="n">
        <v>0</v>
      </c>
      <c r="I258" s="90" t="n">
        <v>7.7</v>
      </c>
    </row>
    <row r="259" ht="17.25" customHeight="1" s="66">
      <c r="A259" s="65" t="inlineStr">
        <is>
          <t>241303</t>
        </is>
      </c>
      <c r="B259" s="68" t="inlineStr">
        <is>
          <t>제조업</t>
        </is>
      </c>
      <c r="C259" s="68" t="inlineStr">
        <is>
          <t>화학 물질 및 화학제품 제조업: 의약품 제외</t>
        </is>
      </c>
      <c r="D259" s="68" t="inlineStr">
        <is>
          <t>합성고무 및 플라스틱 물질 제조업</t>
        </is>
      </c>
      <c r="E259" s="68" t="inlineStr">
        <is>
          <t>혼성 및 재생 플라스틱 소재 물질 제조업</t>
        </is>
      </c>
      <c r="F259" s="68" t="inlineStr">
        <is>
          <t>◦구입한 합성수지 등 각종 플라스틱 소재 물질에 유리섬유, 탄소섬유, 금속 분말 등의 강화제 및 각종 첨가제 등을 배합, 혼합, 착색 등으로 가공하여 물리적 특성을 변화시킨 혼성 플라스틱 소재 물질을 생산하거나 재생용 플라스틱 제품 등을 용해하여 액상, 분말, 입상 및 기타 상태의 재생 플라스틱 소재 물질(수지 등)을 생산하는 산업활동을 말한다.
&lt;예 시&gt;
·배합한 혼성 플라스틱 소재 물질(수지 등) 제조
·재생 플라스틱 소재 물질 제조
·섬유 강화 플라스틱 소재 물질 제조
&lt;제 외&gt;
·자체 생산한 합성수지를 이용한 혼성 플라스틱 소재 물질 제조(241302)</t>
        </is>
      </c>
      <c r="G259" s="90" t="n">
        <v>89.59999999999999</v>
      </c>
      <c r="H259" s="90" t="n">
        <v>0</v>
      </c>
      <c r="I259" s="90" t="n">
        <v>9.5</v>
      </c>
    </row>
    <row r="260" ht="17.25" customHeight="1" s="66">
      <c r="A260" s="65" t="inlineStr">
        <is>
          <t>242101</t>
        </is>
      </c>
      <c r="B260" s="68" t="inlineStr">
        <is>
          <t>제조업</t>
        </is>
      </c>
      <c r="C260" s="68" t="inlineStr">
        <is>
          <t>화학 물질 및 화학제품 제조업: 의약품 제외</t>
        </is>
      </c>
      <c r="D260" s="68" t="inlineStr">
        <is>
          <t>살균ㆍ살충제 및 농약 제조업</t>
        </is>
      </c>
      <c r="E260" s="68" t="inlineStr">
        <is>
          <t>화학 살균ㆍ살충제 및 농업용 약제 제조업</t>
        </is>
      </c>
      <c r="F260" s="68" t="inlineStr">
        <is>
          <t>◦일반 가정용 또는 공중위생용 화학살충제, 방충제, 살균제, 소독제 및 유사 화학제품
&lt;예 시&gt;
·모기향, 바퀴벌레제거제, 에프킬라(방충제), 전자모기향(향), 홈키파(방충제)</t>
        </is>
      </c>
      <c r="G260" s="90" t="n">
        <v>85.09999999999999</v>
      </c>
      <c r="H260" s="90" t="n">
        <v>0</v>
      </c>
      <c r="I260" s="90" t="n">
        <v>9.4</v>
      </c>
    </row>
    <row r="261" ht="17.25" customHeight="1" s="66">
      <c r="A261" s="65" t="inlineStr">
        <is>
          <t>242102</t>
        </is>
      </c>
      <c r="B261" s="68" t="inlineStr">
        <is>
          <t>제조업</t>
        </is>
      </c>
      <c r="C261" s="68" t="inlineStr">
        <is>
          <t>화학 물질 및 화학제품 제조업: 의약품 제외</t>
        </is>
      </c>
      <c r="D261" s="68" t="inlineStr">
        <is>
          <t>살균ㆍ살충제 및 농약 제조업</t>
        </is>
      </c>
      <c r="E261" s="68" t="inlineStr">
        <is>
          <t>화학 살균ㆍ살충제 및 농업용 약제 제조업</t>
        </is>
      </c>
      <c r="F261" s="68" t="inlineStr">
        <is>
          <t>◦농업용으로 사용되는 화학 살충제, 방충제, 살균제, 소독제 및 유사 화학제품을 제조하는 산업활동을 말한다. 식물 성장 조절용 화학 약제 및 유사 화학제품을 제조하는 산업활동도 포함한다.
&lt;예 시&gt;
·화학 살충제, 살균제, 방충제, 소독제 제조
·화학 성장 촉진제, 생장 조절제, 발아 억제제 제조
·살서제(쥐약) 제조
&lt;제 외&gt;
·생물학적 농약, 미생물 농약, 바이러스 농약 제조(242104)
·가정용 세정 및 광택제, 방취제 및 유사 위생제품 제조(242401~242406)
＊가정용, 공중위생용 화학 살균 및 소독제 제조(→242101)</t>
        </is>
      </c>
      <c r="G261" s="90" t="n">
        <v>92</v>
      </c>
      <c r="H261" s="90" t="n">
        <v>0</v>
      </c>
      <c r="I261" s="90" t="n">
        <v>9.4</v>
      </c>
    </row>
    <row r="262" ht="17.25" customHeight="1" s="66">
      <c r="A262" s="65" t="inlineStr">
        <is>
          <t>242103</t>
        </is>
      </c>
      <c r="B262" s="68" t="inlineStr">
        <is>
          <t>제조업</t>
        </is>
      </c>
      <c r="C262" s="68" t="inlineStr">
        <is>
          <t>화학 물질 및 화학제품 제조업: 의약품 제외</t>
        </is>
      </c>
      <c r="D262" s="68" t="inlineStr">
        <is>
          <t>살균ㆍ살충제 및 농약 제조업</t>
        </is>
      </c>
      <c r="E262" s="68" t="inlineStr">
        <is>
          <t>생물 살균ㆍ살충제 및 식물보호제 제조업</t>
        </is>
      </c>
      <c r="F262" s="68" t="inlineStr">
        <is>
          <t>◦일반 가정용 또는 공중위생용 천연 살충제, 방충제, 살균제, 소독제 및 유사 제품</t>
        </is>
      </c>
      <c r="G262" s="90" t="n">
        <v>85.09999999999999</v>
      </c>
      <c r="H262" s="90" t="n">
        <v>0</v>
      </c>
      <c r="I262" s="90" t="n">
        <v>9.4</v>
      </c>
    </row>
    <row r="263" ht="17.25" customHeight="1" s="66">
      <c r="A263" s="65" t="inlineStr">
        <is>
          <t>242104</t>
        </is>
      </c>
      <c r="B263" s="68" t="inlineStr">
        <is>
          <t>제조업</t>
        </is>
      </c>
      <c r="C263" s="68" t="inlineStr">
        <is>
          <t>화학 물질 및 화학제품 제조업: 의약품 제외</t>
        </is>
      </c>
      <c r="D263" s="68" t="inlineStr">
        <is>
          <t>살균ㆍ살충제 및 농약 제조업</t>
        </is>
      </c>
      <c r="E263" s="68" t="inlineStr">
        <is>
          <t>생물 살균ㆍ살충제 및 식물보호제 제조업</t>
        </is>
      </c>
      <c r="F263" s="68" t="inlineStr">
        <is>
          <t>◦생물, 미생물, 식물 또는 천연 유기ㆍ무기 화합물을 유효 성분으로 제조한 농업용 천연 살충제, 방충제, 살균제, 소독제 및 유사 제품을 제조하는 산업활동을 말한다. 식물 성장 조절용 천연 약제 및 유사 제품을 제조하는 산업활동도 포함한다.
&lt;예 시&gt;
·생물학적 살충제, 미생물 또는 바이러스 성분 살균·살충제 및 농약 제조
·식물성 살충·살균제 제조
·생화학성 농약 제조
·천연 식물 보호제 제조
·진균, 세균, 바이러스 또는 원생동물 재료 농약
·천연으로 생성된 유기 또는 무기 화학물 성분 살균, 살충제 및 식물 보호제
&lt;제 외&gt;
·화학적으로 조성된 농약 제조(242102)
＊가정용, 공중위생용 살균 및 소독제 제조(→242103)</t>
        </is>
      </c>
      <c r="G263" s="90" t="n">
        <v>92</v>
      </c>
      <c r="H263" s="90" t="n">
        <v>0</v>
      </c>
      <c r="I263" s="90" t="n">
        <v>9.4</v>
      </c>
    </row>
    <row r="264" ht="17.25" customHeight="1" s="66">
      <c r="A264" s="65" t="inlineStr">
        <is>
          <t>242201</t>
        </is>
      </c>
      <c r="B264" s="68" t="inlineStr">
        <is>
          <t>제조업</t>
        </is>
      </c>
      <c r="C264" s="68" t="inlineStr">
        <is>
          <t>화학 물질 및 화학제품 제조업: 의약품 제외</t>
        </is>
      </c>
      <c r="D264" s="68" t="inlineStr">
        <is>
          <t>잉크, 페인트, 코팅제 및 유사제품 제조업</t>
        </is>
      </c>
      <c r="E264" s="68" t="inlineStr">
        <is>
          <t>인쇄 잉크 및 회화용 물감 제조업</t>
        </is>
      </c>
      <c r="F264" s="68" t="inlineStr">
        <is>
          <t>◦농축 액체 또는 고체 형상 여부를 불문하고 인쇄용 잉크를 제조하는 산업활동을 말한다.
&lt;예 시&gt;
·인쇄용 잉크 제조
&lt;제 외&gt;
·필기용,제도용 잉크 제조(242907)      
*회구류 및 유사 물감 제조(→242202)</t>
        </is>
      </c>
      <c r="G264" s="90" t="n">
        <v>89.2</v>
      </c>
      <c r="H264" s="90" t="n">
        <v>0</v>
      </c>
      <c r="I264" s="90" t="n">
        <v>10.4</v>
      </c>
    </row>
    <row r="265" ht="17.25" customHeight="1" s="66">
      <c r="A265" s="65" t="inlineStr">
        <is>
          <t>242202</t>
        </is>
      </c>
      <c r="B265" s="68" t="inlineStr">
        <is>
          <t>제조업</t>
        </is>
      </c>
      <c r="C265" s="68" t="inlineStr">
        <is>
          <t>화학 물질 및 화학제품 제조업: 의약품 제외</t>
        </is>
      </c>
      <c r="D265" s="68" t="inlineStr">
        <is>
          <t>잉크, 페인트, 코팅제 및 유사제품 제조업</t>
        </is>
      </c>
      <c r="E265" s="68" t="inlineStr">
        <is>
          <t>인쇄 잉크 및 회화용 물감 제조업</t>
        </is>
      </c>
      <c r="F265" s="68" t="inlineStr">
        <is>
          <t>◦화가, 학생, 간판 도장공 등이 사용할 수 있도록 정제, 튜브, 병, 접시 등에 포장 또는 주입된 회구류 및 유사 물감을 제조하는 산업활동을 말한다.
&lt;예 시&gt;
·유성회구류
·수성회구류
·간판 도장공용 물감 제조
&lt;제 외&gt;
·크레용 및 파스텔 제조(369902)
*인쇄용 잉크 제조(→242201)</t>
        </is>
      </c>
      <c r="G265" s="90" t="n">
        <v>91.40000000000001</v>
      </c>
      <c r="H265" s="90" t="n">
        <v>0</v>
      </c>
      <c r="I265" s="90" t="n">
        <v>9.4</v>
      </c>
    </row>
    <row r="266" ht="17.25" customHeight="1" s="66">
      <c r="A266" s="65" t="inlineStr">
        <is>
          <t>242203</t>
        </is>
      </c>
      <c r="B266" s="68" t="inlineStr">
        <is>
          <t>제조업</t>
        </is>
      </c>
      <c r="C266" s="68" t="inlineStr">
        <is>
          <t>화학 물질 및 화학제품 제조업: 의약품 제외</t>
        </is>
      </c>
      <c r="D266" s="68" t="inlineStr">
        <is>
          <t>잉크, 페인트, 코팅제 및 유사제품 제조업</t>
        </is>
      </c>
      <c r="E266" s="68" t="inlineStr">
        <is>
          <t>일반용 도료 및 관련제품 제조업</t>
        </is>
      </c>
      <c r="F266" s="68" t="inlineStr">
        <is>
          <t>◦칠기에 사용하는 옻칠 및 캐슈제조업</t>
        </is>
      </c>
      <c r="G266" s="90" t="n">
        <v>92.8</v>
      </c>
      <c r="H266" s="90" t="n">
        <v>0</v>
      </c>
      <c r="I266" s="90" t="n">
        <v>9.4</v>
      </c>
    </row>
    <row r="267" ht="17.25" customHeight="1" s="66">
      <c r="A267" s="65" t="inlineStr">
        <is>
          <t>242204</t>
        </is>
      </c>
      <c r="B267" s="68" t="inlineStr">
        <is>
          <t>제조업</t>
        </is>
      </c>
      <c r="C267" s="68" t="inlineStr">
        <is>
          <t>화학 물질 및 화학제품 제조업: 의약품 제외</t>
        </is>
      </c>
      <c r="D267" s="68" t="inlineStr">
        <is>
          <t>잉크, 페인트, 코팅제 및 유사제품 제조업</t>
        </is>
      </c>
      <c r="E267" s="68" t="inlineStr">
        <is>
          <t>일반용 도료 및 관련제품 제조업</t>
        </is>
      </c>
      <c r="F267" s="68" t="inlineStr">
        <is>
          <t>◦각종 용도의 도료 및 유사 피막 형성용 조제품, 도료 또는 도장 관련 제품을 제조하거나 페인트 및 에나멜 제조용으로 물이 아닌 매체에 분산한 안료, 도료 및 금속분 등을 종이, 플라스틱 물질, 접착제 등에 지지한 것으로써 요철을 이용한 판금 및 인쇄 등에 사용되는 박(sheet) 등을 제조하는 산업활동을 말한다.
&lt;예 시&gt;
·페인트 및 바니시(varnish) 제조
·에나멜(enamel) 및 래커(lacquer) 제조
·유기 혼합 용제 제조
·디스템퍼 제조     
·도료 용제(솔벤트) 제조
·수지시멘트 제조           
·비내화성 표면처리제 제조
·콕킹 화합물(cauking compound) 제조          
·페인트 및 도료 제거제 제조
·매스틱(mastic) 제조       
·바니시 제거제 제조
&lt;제 외&gt;
·고객 주문에 의한 도료 혼합 소매(523421)
*칠기에 사용하는 옻칠 및 캐슈제조(→242203)</t>
        </is>
      </c>
      <c r="G267" s="90" t="n">
        <v>87</v>
      </c>
      <c r="H267" s="90" t="n">
        <v>0</v>
      </c>
      <c r="I267" s="90" t="n">
        <v>10.4</v>
      </c>
    </row>
    <row r="268" ht="17.25" customHeight="1" s="66">
      <c r="A268" s="65" t="inlineStr">
        <is>
          <t>242205</t>
        </is>
      </c>
      <c r="B268" s="68" t="inlineStr">
        <is>
          <t>제조업</t>
        </is>
      </c>
      <c r="C268" s="68" t="inlineStr">
        <is>
          <t>화학 물질 및 화학제품 제조업: 의약품 제외</t>
        </is>
      </c>
      <c r="D268" s="68" t="inlineStr">
        <is>
          <t>잉크, 페인트, 코팅제 및 유사제품 제조업</t>
        </is>
      </c>
      <c r="E268" s="68" t="inlineStr">
        <is>
          <t>요업용 도포제 및 관련제품 제조업</t>
        </is>
      </c>
      <c r="F268" s="68" t="inlineStr">
        <is>
          <t>◦요업용, 법랑용 및 유리 가공용에 사용되는 조제 안료, 조제 유백제, 조제 착색제, 법랑 유약, 유약용 화장토(slip, engobe) 및 이와 유사한 조제품을 제조하는 산업활동을 말한다.
&lt;예 시&gt;
·요업용 물감 제조
·액상 러스터(lustres) 제조       
·유약용 화장토(슬립, 엥고베) 제조
·요업용 프리트(frit) 제조
·요업용 등 도포제 조제에 사용되는 유리 프리트(frit) 또는 분상, 입상 및 플레이크(flake)상의 유리 제조</t>
        </is>
      </c>
      <c r="G268" s="90" t="n">
        <v>89.2</v>
      </c>
      <c r="H268" s="90" t="n">
        <v>0</v>
      </c>
      <c r="I268" s="90" t="n">
        <v>10.4</v>
      </c>
    </row>
    <row r="269" ht="17.25" customHeight="1" s="66">
      <c r="A269" s="65" t="inlineStr">
        <is>
          <t>242301</t>
        </is>
      </c>
      <c r="B269" s="68" t="inlineStr">
        <is>
          <t>제조업</t>
        </is>
      </c>
      <c r="C269" s="68" t="inlineStr">
        <is>
          <t>의료용 물질 및 의약품 제조업</t>
        </is>
      </c>
      <c r="D269" s="68" t="inlineStr">
        <is>
          <t>완제 의약품 제조업</t>
        </is>
      </c>
      <c r="E269" s="68" t="inlineStr">
        <is>
          <t>생물 의약품 제조업, 합성의약품 및 기타 완제 의약품 제조업</t>
        </is>
      </c>
      <c r="F269" s="68" t="inlineStr">
        <is>
          <t>◦치과, 내과 및 외과용 등 사람의 각종 질병 치료․진단 및 예방을 위하여 직접 사용하기 적합한 완제품 형태(알약, 캡슐, 시럽, 주사제, 연고, 용액 등)의 의약 제제품을 제조하는 산업활동을 말한다.
&lt;예 시&gt;
·의약 제제품 제조
·알약, 주사제, 연고 제조
&lt;제 외&gt;
·동물용 의약품 제조(242304)
·생물학적 제제 제조(242305)
·조제 한의약제품 제조(242302)     
·혈액형 분류용 및 환자 투여용 진단시약 제조(242309)</t>
        </is>
      </c>
      <c r="G269" s="90" t="n">
        <v>85.8</v>
      </c>
      <c r="H269" s="90" t="n">
        <v>0</v>
      </c>
      <c r="I269" s="90" t="n">
        <v>11.9</v>
      </c>
    </row>
    <row r="270" ht="17.25" customHeight="1" s="66">
      <c r="A270" s="65" t="inlineStr">
        <is>
          <t>242302</t>
        </is>
      </c>
      <c r="B270" s="68" t="inlineStr">
        <is>
          <t>제조업</t>
        </is>
      </c>
      <c r="C270" s="68" t="inlineStr">
        <is>
          <t>의료용 물질 및 의약품 제조업</t>
        </is>
      </c>
      <c r="D270" s="68" t="inlineStr">
        <is>
          <t>한의약품 제조업</t>
        </is>
      </c>
      <c r="E270" s="68" t="inlineStr">
        <is>
          <t>한의약품 제조업</t>
        </is>
      </c>
      <c r="F270" s="68" t="inlineStr">
        <is>
          <t>◦한의학적 처방에 의한 특정 질환 예방 및 치료용으로 사용할 수 있도록 의약용 동◦식물성 물질을 배합 및 기타 조제하여 규격화한 한의약 조제품을 제조하는 산업활동을 말한다. 그러나 각종 한의약 재료를 절단, 소형포장 등의 처리는 판매활동의 부수적 활동으로 본다.
&lt;제 외&gt;
·개인 진단 및 처방에 의하여 조제하는 한의원(851212)
·생물학적 제제품 제조(242305)</t>
        </is>
      </c>
      <c r="G270" s="90" t="n">
        <v>79.3</v>
      </c>
      <c r="H270" s="90" t="n">
        <v>0</v>
      </c>
      <c r="I270" s="90" t="n">
        <v>11.9</v>
      </c>
    </row>
    <row r="271" ht="17.25" customHeight="1" s="66">
      <c r="A271" s="65" t="inlineStr">
        <is>
          <t>242303</t>
        </is>
      </c>
      <c r="B271" s="68" t="inlineStr">
        <is>
          <t>제조업</t>
        </is>
      </c>
      <c r="C271" s="68" t="inlineStr">
        <is>
          <t>의료용 물질 및 의약품 제조업</t>
        </is>
      </c>
      <c r="D271" s="68" t="inlineStr">
        <is>
          <t>기초 의약 물질 제조업</t>
        </is>
      </c>
      <c r="E271" s="68" t="inlineStr">
        <is>
          <t>기초 의약 물질 제조업</t>
        </is>
      </c>
      <c r="F271" s="68" t="inlineStr">
        <is>
          <t>◦천연 동․식물성 물질 또는 광물성 물질 등에서 비타민과 그 혼합물, 호르몬과 그 유도체, 글리코시드 및 그 유도체, 식물 알칼로이드 및 그들의 염, 에테르, 에스테르와 기타 유도체 등의 의약용 화합물을 추출 또는 합성하는 산업활동과 원료 상태의 항생 의약 물질을 생산하는 산업활동을 말한다.
&lt;예 시&gt;
·의약용 화합물 제조
·스트렙토마이신 제조
·글리코시드 및 그 유도체 제조
·식물성 알칼로이드(니코틴, 아나바딘 등) 및 그 염 제조
·엑티노마이신 제조
·테트라사이크린계 항생 물질 제조
·생약 물질 추출, 가공 또는 합성 조제품 제조
·화학적 처리(가수분해 등)를 통하여 얻은 순수한 당 이성체(갈락토오스, 소르보오스, 크실로오스, 트레할로오스, 리보오스, 아라비노오스, 라피노오스) 제조
&lt;제 외&gt;
·화학적으로 순수한 맥아당, 과당, 포도당 제조(153202)
·생물학적 제제 제조(242305)</t>
        </is>
      </c>
      <c r="G271" s="90" t="n">
        <v>85.8</v>
      </c>
      <c r="H271" s="90" t="n">
        <v>0</v>
      </c>
      <c r="I271" s="90" t="n">
        <v>11.9</v>
      </c>
    </row>
    <row r="272" ht="17.25" customHeight="1" s="66">
      <c r="A272" s="65" t="inlineStr">
        <is>
          <t>242304</t>
        </is>
      </c>
      <c r="B272" s="68" t="inlineStr">
        <is>
          <t>제조업</t>
        </is>
      </c>
      <c r="C272" s="68" t="inlineStr">
        <is>
          <t>의료용 물질 및 의약품 제조업</t>
        </is>
      </c>
      <c r="D272" s="68" t="inlineStr">
        <is>
          <t>동물용 의약품 제조업</t>
        </is>
      </c>
      <c r="E272" s="68" t="inlineStr">
        <is>
          <t>동물용 의약품 제조업</t>
        </is>
      </c>
      <c r="F272" s="68" t="inlineStr">
        <is>
          <t>◦동물의 각종 질병 치료◦진단 및 예방을 위하여 직접 사용하기에 적합한 완제품 형태(알약, 캡슐, 시럽, 주사제, 연고, 용액 등)의 약제품을 제조하는 산업활동을 말한다.
&lt;예 시&gt;
·동물용 의약품 제조</t>
        </is>
      </c>
      <c r="G272" s="90" t="n">
        <v>85.8</v>
      </c>
      <c r="H272" s="90" t="n">
        <v>0</v>
      </c>
      <c r="I272" s="90" t="n">
        <v>11.9</v>
      </c>
    </row>
    <row r="273" ht="17.25" customHeight="1" s="66">
      <c r="A273" s="65" t="inlineStr">
        <is>
          <t>242305</t>
        </is>
      </c>
      <c r="B273" s="68" t="inlineStr">
        <is>
          <t>제조업</t>
        </is>
      </c>
      <c r="C273" s="68" t="inlineStr">
        <is>
          <t>의료용 물질 및 의약품 제조업</t>
        </is>
      </c>
      <c r="D273" s="68" t="inlineStr">
        <is>
          <t>기초 의약 물질 제조업,의료용품 및 기타 의약 관련제품 제조업</t>
        </is>
      </c>
      <c r="E273" s="68" t="inlineStr">
        <is>
          <t>기초 의약 물질 제조업, 체외 진단 시약 제조업</t>
        </is>
      </c>
      <c r="F273" s="68" t="inlineStr">
        <is>
          <t>◦동물의 분비선과 기관, 분비물의 가공품 및 추출물, 해파린과 그 염 및 기타 의료용 동물성 조제품, 미생물 및 그 배양액으로 만들어지는 박테리아, 바이러스 또는 기타 미생물을 함유한 항혈청, 세균 백신, 독소 및 유사 제품을 제조하거나 동식물 세포 배양액 등으로 만들어지는 생리 활성 물질을 제조하는 산업활동을 말한다. 이러한 제품은 소매용으로 포장되어 있는지 여부를 불문한다.
&lt;예 시&gt;
·미생물 배양체 제조
·면역 혈청과 혈액 분획물 제조
·살균소 및 독소 제조
·동물성 의료용 물질 제조
·동물의 기관, 선 및 분비물 가공품 및 추출물 제조(의약용)
&lt;제 외&gt;
·생물학적 농약 제조(242103,242104)</t>
        </is>
      </c>
      <c r="G273" s="90" t="n">
        <v>85.8</v>
      </c>
      <c r="H273" s="90" t="n">
        <v>0</v>
      </c>
      <c r="I273" s="90" t="n">
        <v>11.9</v>
      </c>
    </row>
    <row r="274" ht="17.25" customHeight="1" s="66">
      <c r="A274" s="65" t="inlineStr">
        <is>
          <t>242309</t>
        </is>
      </c>
      <c r="B274" s="68" t="inlineStr">
        <is>
          <t>제조업</t>
        </is>
      </c>
      <c r="C274" s="68" t="inlineStr">
        <is>
          <t>의료용 물질 및 의약품 제조업</t>
        </is>
      </c>
      <c r="D274" s="68" t="inlineStr">
        <is>
          <t>의료용품 및 기타 의약 관련제품 제조업</t>
        </is>
      </c>
      <c r="E274" s="68" t="inlineStr">
        <is>
          <t>체외 진단 시약 제조업, 그 외 기타 의료용품 및 의약 관련제품 제조업</t>
        </is>
      </c>
      <c r="F274" s="68" t="inlineStr">
        <is>
          <t>◦재료를 불문하고 내과용, 외과용, 치과용 및 수의과용 등의 의료적 처치에 사용될 수 있도록 살균, 부패방지 등 특수 처리된 각종 의료용품 및 기타 의약 관련제품 제조활동을 말한다.
&lt;예 시&gt;
·사람 및 동물 혈액형 분류용 시약 제조 
·주사 또는 입으로 투여되는 환자 생체용 진단 시약 제조
·피임성의 화학 조제품 제조
·탈지면, 창상 등 의료용 피복재, 습포제 제조
·치과용 시멘트, 충전제 및 뼈 성형용 시멘트 제조
·살균한 외과용 장선(캣거트) 및 살균한 유사 봉합재(천연섬유, 합성섬유, 금속 재료 등 포함) 제조
·살균한 외과용 또는 치과용 지혈제 및 유착방지제 제조
·엑스선 검사용 조영제 제조
·살균한 라미나리아 제조
·의약품 등을 갖춘 구급상자, 구급대 제조
·붕대
&lt;제 외&gt;
·정형외과용품 제조(331105)
·의사용 의료대(331102)
·목제 구급상자 케이스(202905)
·살균하지 않은 장선(191201)</t>
        </is>
      </c>
      <c r="G274" s="90" t="n">
        <v>88.8</v>
      </c>
      <c r="H274" s="90" t="n">
        <v>0</v>
      </c>
      <c r="I274" s="90" t="n">
        <v>11.9</v>
      </c>
    </row>
    <row r="275" ht="17.25" customHeight="1" s="66">
      <c r="A275" s="65" t="inlineStr">
        <is>
          <t>242401</t>
        </is>
      </c>
      <c r="B275" s="68" t="inlineStr">
        <is>
          <t>제조업</t>
        </is>
      </c>
      <c r="C275" s="68" t="inlineStr">
        <is>
          <t>화학 물질 및 화학제품 제조업: 의약품 제외</t>
        </is>
      </c>
      <c r="D275" s="68" t="inlineStr">
        <is>
          <t>세제, 화장품 및 광택제 제조업</t>
        </is>
      </c>
      <c r="E275" s="68" t="inlineStr">
        <is>
          <t>치약, 비누 및 기타 세제 제조업</t>
        </is>
      </c>
      <c r="F275" s="68" t="inlineStr">
        <is>
          <t>◦세탁비누</t>
        </is>
      </c>
      <c r="G275" s="90" t="n">
        <v>92.40000000000001</v>
      </c>
      <c r="H275" s="90" t="n">
        <v>0</v>
      </c>
      <c r="I275" s="90" t="n">
        <v>7.9</v>
      </c>
    </row>
    <row r="276" ht="17.25" customHeight="1" s="66">
      <c r="A276" s="65" t="inlineStr">
        <is>
          <t>242402</t>
        </is>
      </c>
      <c r="B276" s="68" t="inlineStr">
        <is>
          <t>제조업</t>
        </is>
      </c>
      <c r="C276" s="68" t="inlineStr">
        <is>
          <t>화학 물질 및 화학제품 제조업: 의약품 제외</t>
        </is>
      </c>
      <c r="D276" s="68" t="inlineStr">
        <is>
          <t>세제, 화장품 및 광택제 제조업</t>
        </is>
      </c>
      <c r="E276" s="68" t="inlineStr">
        <is>
          <t>치약, 비누 및 기타 세제 제조업</t>
        </is>
      </c>
      <c r="F276" s="68" t="inlineStr">
        <is>
          <t>◦각종 형태의 지방산 중합 반응을 이용하여 만든 비누, 비누로 사용되는 유기 계면활성제품, 치약, 합성세제가 도포되거나 침적된 종이, 펠트 및 기타 세정용 제품, 유기 계면활성제를 조제하여 액상◦분상 또는 페이스트상의 합성세제 및 세정제를 제조하는 산업활동을 말한다. 원료 상태의 글리세린을 제조하는 산업활동도 포함한다.
&lt;예 시&gt;
·합성 세정제 제조
·글리세린 제조
·글리세린 수 및 비누 폐액으로 만든 글리세린 제조
&lt;제 외&gt;
·샴푸 및 면도용 조제품 제조(242403)
＊세탁비누 제조(→242401)</t>
        </is>
      </c>
      <c r="G276" s="90" t="n">
        <v>89.59999999999999</v>
      </c>
      <c r="H276" s="90" t="n">
        <v>0</v>
      </c>
      <c r="I276" s="90" t="n">
        <v>9.1</v>
      </c>
    </row>
    <row r="277" ht="17.25" customHeight="1" s="66">
      <c r="A277" s="65" t="inlineStr">
        <is>
          <t>242403</t>
        </is>
      </c>
      <c r="B277" s="68" t="inlineStr">
        <is>
          <t>제조업</t>
        </is>
      </c>
      <c r="C277" s="68" t="inlineStr">
        <is>
          <t>화학 물질 및 화학제품 제조업: 의약품 제외</t>
        </is>
      </c>
      <c r="D277" s="68" t="inlineStr">
        <is>
          <t>세제, 화장품 및 광택제 제조업</t>
        </is>
      </c>
      <c r="E277" s="68" t="inlineStr">
        <is>
          <t>화장품 제조업</t>
        </is>
      </c>
      <c r="F277" s="68" t="inlineStr">
        <is>
          <t>◦향수 및 화장수, 화장품을 제조하는 산업활동으로서 미용 또는 안면 보호용, 두발용 또는 면도용, 목욕용 조제품과 인체용 탈취제, 탈모제 등을 제조하는 산업활동을 말한다.
&lt;예 시&gt;
·샴푸 제조
·헤어 스프레이 제조
·향낭 제조       
·콘택트렌즈 세정액 제조
·의안용 세정액 제조
·구강 세척제(치약 제외) 제조    
·가향한 목욕용 염 제조
·내발한제 제조
·구강 위생용품 제조
&lt;제 외&gt;
·실내 가향제 제조(242406)
·치약 제조(242402)</t>
        </is>
      </c>
      <c r="G277" s="90" t="n">
        <v>84.8</v>
      </c>
      <c r="H277" s="90" t="n">
        <v>0</v>
      </c>
      <c r="I277" s="90" t="n">
        <v>11.5</v>
      </c>
    </row>
    <row r="278" ht="17.25" customHeight="1" s="66">
      <c r="A278" s="65" t="inlineStr">
        <is>
          <t>242404</t>
        </is>
      </c>
      <c r="B278" s="68" t="inlineStr">
        <is>
          <t>제조업</t>
        </is>
      </c>
      <c r="C278" s="68" t="inlineStr">
        <is>
          <t>화학 물질 및 화학제품 제조업: 의약품 제외</t>
        </is>
      </c>
      <c r="D278" s="68" t="inlineStr">
        <is>
          <t>세제, 화장품 및 광택제 제조업</t>
        </is>
      </c>
      <c r="E278" s="68" t="inlineStr">
        <is>
          <t>계면활성제 제조업</t>
        </is>
      </c>
      <c r="F278" s="68" t="inlineStr">
        <is>
          <t>◦섬유, 종이, 펄프, 화장품 및 세척제, 농약 등의 제조 가공에 사용되는 유기 또는 조제 계면활성제를 제조하는 산업활동을 말한다.
&lt;제 외&gt;
·비누 및 합성세제 제조(242401,242402)</t>
        </is>
      </c>
      <c r="G278" s="90" t="n">
        <v>89.59999999999999</v>
      </c>
      <c r="H278" s="90" t="n">
        <v>0</v>
      </c>
      <c r="I278" s="90" t="n">
        <v>11.2</v>
      </c>
    </row>
    <row r="279" ht="17.25" customHeight="1" s="66">
      <c r="A279" s="65" t="inlineStr">
        <is>
          <t>242405</t>
        </is>
      </c>
      <c r="B279" s="68" t="inlineStr">
        <is>
          <t>제조업</t>
        </is>
      </c>
      <c r="C279" s="68" t="inlineStr">
        <is>
          <t>화학 물질 및 화학제품 제조업: 의약품 제외</t>
        </is>
      </c>
      <c r="D279" s="68" t="inlineStr">
        <is>
          <t>세제, 화장품 및 광택제 제조업</t>
        </is>
      </c>
      <c r="E279" s="68" t="inlineStr">
        <is>
          <t>표면 광택제 및 실내 가향제 제조업</t>
        </is>
      </c>
      <c r="F279" s="68" t="inlineStr">
        <is>
          <t>◦가구, 금속, 신발, 마룻바닥, 차량 유리 등의 표면 광택용 인조왁스, 광택제, 조제 연마분 및 페이스트 등을 제조하는 산업활동을 말한다. 이러한 광택제 및 연마용 조제품을 종이, 펠트 및 기타 물질에 도포 또는 피복한 제품을 제조하는 산업활동도 포함한다.
&lt;예 시&gt;
·신발 광택제 및 크림 제조
·마루 광택제 및 크림 제조
·조제 연마페이스트 제조
&lt;제 외&gt;
*실내용 가향 및 방향제 제조(→242406)</t>
        </is>
      </c>
      <c r="G279" s="90" t="n">
        <v>89.59999999999999</v>
      </c>
      <c r="H279" s="90" t="n">
        <v>0</v>
      </c>
      <c r="I279" s="90" t="n">
        <v>11.2</v>
      </c>
    </row>
    <row r="280" ht="17.25" customHeight="1" s="66">
      <c r="A280" s="65" t="inlineStr">
        <is>
          <t>242406</t>
        </is>
      </c>
      <c r="B280" s="68" t="inlineStr">
        <is>
          <t>제조업</t>
        </is>
      </c>
      <c r="C280" s="68" t="inlineStr">
        <is>
          <t>화학 물질 및 화학제품 제조업: 의약품 제외</t>
        </is>
      </c>
      <c r="D280" s="68" t="inlineStr">
        <is>
          <t>세제, 화장품 및 광택제 제조업</t>
        </is>
      </c>
      <c r="E280" s="68" t="inlineStr">
        <is>
          <t>표면 광택제 및 실내 가향제 제조업</t>
        </is>
      </c>
      <c r="F280" s="68" t="inlineStr">
        <is>
          <t>◦실내용 가향 및 방향제 등을 제조하는 산업활동을 말한다.
&lt;예 시&gt;
·아가바티(agarbatti, 인도 분향) 및 기타 분향 제조            
·실내용 방향제품(악취 방지용)
·분향(제사용) 제조
&lt;제 외&gt;
*표면광택제 제조(→242405)</t>
        </is>
      </c>
      <c r="G280" s="90" t="n">
        <v>85.09999999999999</v>
      </c>
      <c r="H280" s="90" t="n">
        <v>0</v>
      </c>
      <c r="I280" s="90" t="n">
        <v>8.4</v>
      </c>
    </row>
    <row r="281" ht="17.25" customHeight="1" s="66">
      <c r="A281" s="65" t="inlineStr">
        <is>
          <t>242901</t>
        </is>
      </c>
      <c r="B281" s="68" t="inlineStr">
        <is>
          <t>제조업</t>
        </is>
      </c>
      <c r="C281" s="68" t="inlineStr">
        <is>
          <t>화학 물질 및 화학제품 제조업: 의약품 제외</t>
        </is>
      </c>
      <c r="D281" s="68" t="inlineStr">
        <is>
          <t>그 외 기타 화학제품 제조업</t>
        </is>
      </c>
      <c r="E281" s="68" t="inlineStr">
        <is>
          <t>접착제 및 젤라틴 제조업</t>
        </is>
      </c>
      <c r="F281" s="68" t="inlineStr">
        <is>
          <t>◦아교, 접착제, 젤라틴, 펩톤 및 기타 펩톤 성분과 이들의 유도체를 제조하는 산업활동을 말한다. 고무 또는 플라스틱 물질을 주성분으로 접착제를 제조하는 산업활동도 포함한다.
&lt;예 시&gt;
·젤라틴 캡슐 제조
·카세인염과 카세인 유도체 제조       
·알부민(난백 제외), 알부민산염 및 그 유도체 제조
&lt;제 외&gt;
·전분제 식용 및 의약용 캡슐 제조(154102)</t>
        </is>
      </c>
      <c r="G281" s="90" t="n">
        <v>88.7</v>
      </c>
      <c r="H281" s="90" t="n">
        <v>0</v>
      </c>
      <c r="I281" s="90" t="n">
        <v>7.8</v>
      </c>
    </row>
    <row r="282" ht="17.25" customHeight="1" s="66">
      <c r="A282" s="65" t="inlineStr">
        <is>
          <t>242902</t>
        </is>
      </c>
      <c r="B282" s="68" t="inlineStr">
        <is>
          <t>제조업</t>
        </is>
      </c>
      <c r="C282" s="68" t="inlineStr">
        <is>
          <t>전자 부품, 컴퓨터, 영상, 음향 및 통신장비 제조업</t>
        </is>
      </c>
      <c r="D282" s="68" t="inlineStr">
        <is>
          <t>마그네틱 및 광학 매체 제조업</t>
        </is>
      </c>
      <c r="E282" s="68" t="inlineStr">
        <is>
          <t>마그네틱 및 광학 매체 제조업</t>
        </is>
      </c>
      <c r="F282" s="68" t="inlineStr">
        <is>
          <t>◦마그네틱 또는 광학에 의한 각종 기록 매체를 제조하는 산업활동을 말한다.
&lt;예 시&gt;
·마그네틱 오디오 및 비디오 테이프(기록되지 않은 것) 제조     
·디스켓(기록되지 않은 것) 제조
·광학 디스크(기록되지 않은 것) 제조       
·CD(기록되지 않은 것) 제조
&lt;제 외&gt;
·스트라이프 또는 칩이 자장된 마그네틱 카드 제조(321015)
·기록된 매체의 복제(223001)
·감광성 사진 인화지 제조(242905)</t>
        </is>
      </c>
      <c r="G282" s="90" t="n">
        <v>89</v>
      </c>
      <c r="H282" s="90" t="n">
        <v>0</v>
      </c>
      <c r="I282" s="90" t="n">
        <v>8.6</v>
      </c>
    </row>
    <row r="283" ht="17.25" customHeight="1" s="66">
      <c r="A283" s="65" t="inlineStr">
        <is>
          <t>242903</t>
        </is>
      </c>
      <c r="B283" s="68" t="inlineStr">
        <is>
          <t>제조업</t>
        </is>
      </c>
      <c r="C283" s="68" t="inlineStr">
        <is>
          <t>화학 물질 및 화학제품 제조업: 의약품 제외</t>
        </is>
      </c>
      <c r="D283" s="68" t="inlineStr">
        <is>
          <t>그 외 기타 화학제품 제조업</t>
        </is>
      </c>
      <c r="E283" s="68" t="inlineStr">
        <is>
          <t>그 외 기타 분류 안된 화학제품 제조업</t>
        </is>
      </c>
      <c r="F283" s="68" t="inlineStr">
        <is>
          <t>◦윤활처리조제품
◦조제윤활유
 ·기계유(석유성분70%미만), 시계유(조제윤활유), 파이버그리스
◦조제절삭제
◦그리스(조제)</t>
        </is>
      </c>
      <c r="G283" s="90" t="n">
        <v>95.3</v>
      </c>
      <c r="H283" s="90" t="n">
        <v>0</v>
      </c>
      <c r="I283" s="90" t="n">
        <v>8.6</v>
      </c>
    </row>
    <row r="284" ht="17.25" customHeight="1" s="66">
      <c r="A284" s="65" t="inlineStr">
        <is>
          <t>242904</t>
        </is>
      </c>
      <c r="B284" s="68" t="inlineStr">
        <is>
          <t>제조업</t>
        </is>
      </c>
      <c r="C284" s="68" t="inlineStr">
        <is>
          <t>화학 물질 및 화학제품 제조업: 의약품 제외</t>
        </is>
      </c>
      <c r="D284" s="68" t="inlineStr">
        <is>
          <t>그 외 기타 화학제품 제조업</t>
        </is>
      </c>
      <c r="E284" s="68" t="inlineStr">
        <is>
          <t>가공 및 정제염 제조업</t>
        </is>
      </c>
      <c r="F284" s="68" t="inlineStr">
        <is>
          <t>◦천일염을 재처리하거나 해수를 이온교환 분리 및 결합 방법 등으로 처리하여 가공염 및 정제염을 제조하는 산업활동을 말한다.
&lt;예 시&gt;
·기계염 제조
·가공염 제조
&lt;제 외&gt;
·식탁용 맛소금 제조(154503), 구운 소금 제조(154509)</t>
        </is>
      </c>
      <c r="G284" s="90" t="n">
        <v>89.5</v>
      </c>
      <c r="H284" s="90" t="n">
        <v>0</v>
      </c>
      <c r="I284" s="90" t="n">
        <v>9.5</v>
      </c>
    </row>
    <row r="285" ht="17.25" customHeight="1" s="66">
      <c r="A285" s="65" t="inlineStr">
        <is>
          <t>242905</t>
        </is>
      </c>
      <c r="B285" s="68" t="inlineStr">
        <is>
          <t>제조업</t>
        </is>
      </c>
      <c r="C285" s="68" t="inlineStr">
        <is>
          <t>화학 물질 및 화학제품 제조업: 의약품 제외</t>
        </is>
      </c>
      <c r="D285" s="68" t="inlineStr">
        <is>
          <t>그 외 기타 화학제품 제조업</t>
        </is>
      </c>
      <c r="E285" s="68" t="inlineStr">
        <is>
          <t>감광 재료 및 관련 화학제품 제조업</t>
        </is>
      </c>
      <c r="F285" s="68" t="inlineStr">
        <is>
          <t>◦영상 및 기타 현상 기록용 감광성 판, 필름, 종이, 판지와 사진처리용 화학제품을 제조하는 산업활동을 말한다.
&lt;예 시&gt;
·감광성 사진 인화지 및 판지 제조
·사진처리용 단일 화학 물질 제조
·감광성 사진 플레이트, 사진 필름 및 인스턴트 프린트 필름 제조
·프린터용 토너 및 토너 카트리지</t>
        </is>
      </c>
      <c r="G285" s="90" t="n">
        <v>88.7</v>
      </c>
      <c r="H285" s="90" t="n">
        <v>0</v>
      </c>
      <c r="I285" s="90" t="n">
        <v>9.699999999999999</v>
      </c>
    </row>
    <row r="286" ht="17.25" customHeight="1" s="66">
      <c r="A286" s="65" t="inlineStr">
        <is>
          <t>242906</t>
        </is>
      </c>
      <c r="B286" s="68" t="inlineStr">
        <is>
          <t>제조업</t>
        </is>
      </c>
      <c r="C286" s="68" t="inlineStr">
        <is>
          <t>화학 물질 및 화학제품 제조업: 의약품 제외</t>
        </is>
      </c>
      <c r="D286" s="68" t="inlineStr">
        <is>
          <t>그 외 기타 화학제품 제조업</t>
        </is>
      </c>
      <c r="E286" s="68" t="inlineStr">
        <is>
          <t>화약 및 불꽃제품 제조업</t>
        </is>
      </c>
      <c r="F286" s="68" t="inlineStr">
        <is>
          <t>◦여러 가지 형태의 추진(발사) 화약, 조제 폭약, 신관, 뇌관, 점화기 및 불꽃제품 등을 생산하는 산업활동을 말한다.
&lt;예 시&gt;
·점화기 제조
·신호용 조명탄 제조
·폭죽 제조
&lt;제 외&gt;
·양초 제조(369906)
·포탄, 폭탄 및 총탄 제조(292700)
＊성냥 제조(→369907)</t>
        </is>
      </c>
      <c r="G286" s="90" t="n">
        <v>88.7</v>
      </c>
      <c r="H286" s="90" t="n">
        <v>0</v>
      </c>
      <c r="I286" s="90" t="n">
        <v>9.699999999999999</v>
      </c>
    </row>
    <row r="287" ht="17.25" customHeight="1" s="66">
      <c r="A287" s="65" t="inlineStr">
        <is>
          <t>242907</t>
        </is>
      </c>
      <c r="B287" s="68" t="inlineStr">
        <is>
          <t>제조업</t>
        </is>
      </c>
      <c r="C287" s="68" t="inlineStr">
        <is>
          <t>화학 물질 및 화학제품 제조업:의약품 제외 의료용 물질 및 의약품 제조업</t>
        </is>
      </c>
      <c r="D287" s="68" t="inlineStr">
        <is>
          <t>의료용품 및 기타 의약 관련제품 제조업 ,그 외 기타 화학제품 제조업</t>
        </is>
      </c>
      <c r="E287" s="68" t="inlineStr">
        <is>
          <t>체외 진단 시약 제조업, 그 외 기타 분류 안된 화학제품 제조업</t>
        </is>
      </c>
      <c r="F287" s="68" t="inlineStr">
        <is>
          <t>◦향수, 식품, 음료 등의 향료로 사용되는 동◦식물성의 방향유(정유), 동식물성 수지질 재료로 만든 레지노이드, 정유 농축물, 정유의 테르펜계 부산물◦혼합물◦수성 증류액 및 용액 등을 제조하는 산업활동: 필기용 잉크, 용접용 분 또는 페이스트 및 금속 표면처리 용제, 활성탄, 고무 가황 촉진제, 촉매제 및 기타 산업용 화학제품, 안티녹제, 부동액, 실험실용 또는 진단용 시약(혈액형 분류용 또는 환자 투여용 제외) 등을 제조하는 산업활동을 포함한다.
&lt;예 시&gt;
·정유 혼합물 제조
·정유 수성 증류액 및 용액 제조
·합성 향료 혼합물 제조
·정유 테르펜계 화합물 제조
·활성탄 제조
·산, 알칼리 처리 등으로 활성화된 광물성 물질(활성 규조토 등) 제조
·소화기용 조제품 제조
·전자공업용 화학 원소 및 화합물 제조
·도금용 조제품 제조
·조제 유기 과산화물 제조    
·고무, 플라스틱용 복합 가소제 제조
·조형용 페이스트(반죽) 제조
·각종 첨가제가 포함된 치과용 플라스터 조형 조제품 제조
·고무, 플라스틱용 산화방지 조제품
·산화 억제제, 검화 억제제
·염색 촉진 및 고착용 염색 캐리어, 드레싱 및 매염제 제조
·부동액 등 동결 방지제
·LCD용 액정액 제조  
·이화학 시험관용 진단 시약           
·의학용ㆍ수의학용ㆍ과학용ㆍ산업 실험용 조제 및 분석 시약
·이화학용 시약이 함침 또는 도포된 종이ㆍ플라스틱 및 기타 물질 제조
·이화학용 시약 관련 조립용품 묶음(키트)
·환자에 투여되지 않는 혈액ㆍ소변 검사용 시약
·필기용, 제도용 잉크 제조
&lt;제 외&gt;
·혈액형 분류용 또는 환자 투여용 진단 시약 제조(242309)
·석유 및 역청유를 주성분으로 한 윤활유 및 그리스의 재생품 제조(232200)
·인쇄 잉크 제조(242201)
·미생물용 조제 배양제 제조(242305)
*윤활처리조제품, 조제절삭제, 그리스(조제)  제조(→242903)</t>
        </is>
      </c>
      <c r="G287" s="90" t="n">
        <v>88.7</v>
      </c>
      <c r="H287" s="90" t="n">
        <v>0</v>
      </c>
      <c r="I287" s="90" t="n">
        <v>5.5</v>
      </c>
    </row>
    <row r="288" ht="17.25" customHeight="1" s="66">
      <c r="A288" s="65" t="inlineStr">
        <is>
          <t>242908</t>
        </is>
      </c>
      <c r="B288" s="68" t="inlineStr">
        <is>
          <t>제조업</t>
        </is>
      </c>
      <c r="C288" s="68" t="inlineStr">
        <is>
          <t>화학 물질 및 화학제품 제조업: 의약품 제외</t>
        </is>
      </c>
      <c r="D288" s="68" t="inlineStr">
        <is>
          <t>그 외 기타 화학제품 제조업</t>
        </is>
      </c>
      <c r="E288" s="68" t="inlineStr">
        <is>
          <t>바이오 연료 및 혼합물 제조업</t>
        </is>
      </c>
      <c r="F288" s="68" t="inlineStr">
        <is>
          <t>◦동◦식물성 유지, 식물, 해조류, 축산 폐기물 등을 재료로 추출 및 발효 등의 공정을 거쳐 연료용, 발전용 등에 사용하는 바이오 디젤, 바이오 에탄올, 바이오 가스 등을 생산하는 산업활동을 말한다. 바이오 연료와 석유 및 역청유 혼합물(중량 기준으로 석유 및 역청유 함유량이 70% 미만)을 제조하는 산업활동을 포함한다.</t>
        </is>
      </c>
      <c r="G288" s="90" t="n">
        <v>95.3</v>
      </c>
      <c r="H288" s="90" t="n">
        <v>0</v>
      </c>
      <c r="I288" s="90" t="n">
        <v>8.6</v>
      </c>
    </row>
    <row r="289" ht="17.25" customHeight="1" s="66">
      <c r="A289" s="65" t="inlineStr">
        <is>
          <t>243000</t>
        </is>
      </c>
      <c r="B289" s="68" t="inlineStr">
        <is>
          <t>제조업</t>
        </is>
      </c>
      <c r="C289" s="68" t="inlineStr">
        <is>
          <t>화학 물질 및 화학제품 제조업: 의약품 제외</t>
        </is>
      </c>
      <c r="D289" s="68" t="inlineStr">
        <is>
          <t>화학섬유 제조업</t>
        </is>
      </c>
      <c r="E289" s="68" t="inlineStr">
        <is>
          <t>합성섬유 제조업</t>
        </is>
      </c>
      <c r="F289" s="68" t="inlineStr">
        <is>
          <t>◦석탄 혹은 석유 증류물 등을 원료로 유기 단량체(모노머)를 중합하고 필라멘트사, 스트립, 토우 및 스테이플 상태의 합성섬유를 제조하는 산업활동을 말한다.
&lt;예 시&gt;
·나일론 및 비닐론 제조
·아라미드 합성섬유 제조
·폴리염화비닐리덴 섬유 제조
·폴리염화비닐 섬유 제조
·폴리에스터 섬유 제조
·폴리에틸렌 섬유 제조
·아크릴 섬유 제조
·폴리프로필렌 섬유 제조</t>
        </is>
      </c>
      <c r="G289" s="90" t="n">
        <v>90.59999999999999</v>
      </c>
      <c r="H289" s="90" t="n">
        <v>0</v>
      </c>
      <c r="I289" s="90" t="n">
        <v>12.1</v>
      </c>
    </row>
    <row r="290" ht="17.25" customHeight="1" s="66">
      <c r="A290" s="65" t="inlineStr">
        <is>
          <t>243001</t>
        </is>
      </c>
      <c r="B290" s="68" t="inlineStr">
        <is>
          <t>제조업</t>
        </is>
      </c>
      <c r="C290" s="68" t="inlineStr">
        <is>
          <t>화학 물질 및 화학제품 제조업: 의약품 제외</t>
        </is>
      </c>
      <c r="D290" s="68" t="inlineStr">
        <is>
          <t>화학섬유 제조업</t>
        </is>
      </c>
      <c r="E290" s="68" t="inlineStr">
        <is>
          <t>재생 섬유 제조업</t>
        </is>
      </c>
      <c r="F290" s="68" t="inlineStr">
        <is>
          <t>◦섬유소, 카제인, 단백질 및 해조류 등과 같은 천연 유기 폴리머(중합체)를 화학적으로 재생 또는 반합성하여 유기 폴리머섬유를 제조하는 산업활동을 말한다.
&lt;예 시&gt;
·레이온 섬유 제조
·초산 셀룰로오스 섬유 제조
·아세테이트 섬유 제조
·알기네이트 섬유 제조
&lt;제 외&gt;
·구입한 화학섬유를 방적하여 화학섬유사를 제조하는 경우(171101,171106~171108)</t>
        </is>
      </c>
      <c r="G290" s="90" t="n">
        <v>90.59999999999999</v>
      </c>
      <c r="H290" s="90" t="n">
        <v>0</v>
      </c>
      <c r="I290" s="90" t="n">
        <v>12.1</v>
      </c>
    </row>
    <row r="291" ht="17.25" customHeight="1" s="66">
      <c r="A291" s="65" t="inlineStr">
        <is>
          <t>251101</t>
        </is>
      </c>
      <c r="B291" s="68" t="inlineStr">
        <is>
          <t>제조업</t>
        </is>
      </c>
      <c r="C291" s="68" t="inlineStr">
        <is>
          <t>고무 및 플라스틱제품 제조업</t>
        </is>
      </c>
      <c r="D291" s="68" t="inlineStr">
        <is>
          <t>고무 타이어 및 튜브 생산업</t>
        </is>
      </c>
      <c r="E291" s="68" t="inlineStr">
        <is>
          <t>고무 타이어 및 튜브 제조업</t>
        </is>
      </c>
      <c r="F291" s="68" t="inlineStr">
        <is>
          <t>◦각종 차량, 항공기, 자전거, 이륜 자동차 등에 사용되는 타이어, 튜브 및 재생용 부분품을 생산하는 산업활동을 말한다.
&lt;예 시&gt;
·이너 튜브 제조
·고무제 공기 타이어(신품) 제조
·고무제 솔리드 타이어 제조
·고무 타이어 재생용 캐멀백(camel back) 스트립 제조
·타이어 트레드 고무 제조</t>
        </is>
      </c>
      <c r="G291" s="90" t="n">
        <v>90.2</v>
      </c>
      <c r="H291" s="90" t="n">
        <v>0</v>
      </c>
      <c r="I291" s="90" t="n">
        <v>9.199999999999999</v>
      </c>
    </row>
    <row r="292" ht="17.25" customHeight="1" s="66">
      <c r="A292" s="65" t="inlineStr">
        <is>
          <t>251102</t>
        </is>
      </c>
      <c r="B292" s="68" t="inlineStr">
        <is>
          <t>제조업</t>
        </is>
      </c>
      <c r="C292" s="68" t="inlineStr">
        <is>
          <t>고무 및 플라스틱제품 제조업</t>
        </is>
      </c>
      <c r="D292" s="68" t="inlineStr">
        <is>
          <t>고무 타이어 및 튜브 생산업</t>
        </is>
      </c>
      <c r="E292" s="68" t="inlineStr">
        <is>
          <t>고무 타이어 및 튜브 제조업</t>
        </is>
      </c>
      <c r="F292" s="68" t="inlineStr">
        <is>
          <t>◦중고 타이어를 재생하는 산업활동을 말한다.</t>
        </is>
      </c>
      <c r="G292" s="90" t="n">
        <v>94.2</v>
      </c>
      <c r="H292" s="90" t="n">
        <v>0</v>
      </c>
      <c r="I292" s="90" t="n">
        <v>10</v>
      </c>
    </row>
    <row r="293" ht="17.25" customHeight="1" s="66">
      <c r="A293" s="65" t="inlineStr">
        <is>
          <t>251901</t>
        </is>
      </c>
      <c r="B293" s="68" t="inlineStr">
        <is>
          <t>제조업</t>
        </is>
      </c>
      <c r="C293" s="68" t="inlineStr">
        <is>
          <t>고무 및 플라스틱제품 제조업</t>
        </is>
      </c>
      <c r="D293" s="68" t="inlineStr">
        <is>
          <t>기타 고무제품 제조업</t>
        </is>
      </c>
      <c r="E293" s="68" t="inlineStr">
        <is>
          <t>산업용 그 외 비경화 고무제품 제조업</t>
        </is>
      </c>
      <c r="F293" s="68" t="inlineStr">
        <is>
          <t>◦비경화 고무 배합물◦용액 및 분산액, 1차 형태 및 기타 형태의 산업용 비경화 고무제품을 제조하는 산업활동을 말한다. 이러한 제품은 가황하거나 방직용 섬유물질, 철심 등으로 보강한 것을 포함한다.
&lt;예 시&gt;
·배합고무 라텍스 제조
·고무봉·관·호스 제조
·기계용 비경화 고무제품 제조
·전동용 벨트 제조(고무 피복)
·고무를 피복한 방직용 섬유 직물(고무가 주재료인 경우) 제조
·고무를 주재료로 만든 접착 테이프 제조
&lt;제 외&gt;
·고무사 세폭직물 직조(172901)
·타이어코드 직물 제조(172904)
·재생 타이어용 캐멀백 스트립 제조(251101)
·위생용 비경화 고무제품 제조(251904)
·경화 고무제품 제조(251902)</t>
        </is>
      </c>
      <c r="G293" s="90" t="n">
        <v>92</v>
      </c>
      <c r="H293" s="90" t="n">
        <v>0</v>
      </c>
      <c r="I293" s="90" t="n">
        <v>8.4</v>
      </c>
    </row>
    <row r="294" ht="17.25" customHeight="1" s="66">
      <c r="A294" s="65" t="inlineStr">
        <is>
          <t>251902</t>
        </is>
      </c>
      <c r="B294" s="68" t="inlineStr">
        <is>
          <t>제조업</t>
        </is>
      </c>
      <c r="C294" s="68" t="inlineStr">
        <is>
          <t>고무 및 플라스틱제품 제조업</t>
        </is>
      </c>
      <c r="D294" s="68" t="inlineStr">
        <is>
          <t>기타 고무제품 제조업</t>
        </is>
      </c>
      <c r="E294" s="68" t="inlineStr">
        <is>
          <t>그 외 기타 고무제품 제조업</t>
        </is>
      </c>
      <c r="F294" s="68" t="inlineStr">
        <is>
          <t>◦각종 형태의 경화 고무제품 및 발포 성형 고무제품을 제조하거나 구입한 1차 형태의 비경화 고무제품을 절단◦접합◦표면 가공하여 각종 고무제품을 제조하는 산업활동을 말한다.
&lt;예 시&gt;
·지우개 제조
·고무 밴드 제조
·고무 스펀지 제조       
·비경화 고무 가공품 제조
·쿠션 및 베개 제조
·바닥깔개와 매트 제조       
·고무제 자석 제조
&lt;제 외&gt;
·고무 재생제품 제조용 가공 이차원료 생산(372000)
·고무자석 원료인 고무제품 제조(251901)</t>
        </is>
      </c>
      <c r="G294" s="90" t="n">
        <v>89</v>
      </c>
      <c r="H294" s="90" t="n">
        <v>0</v>
      </c>
      <c r="I294" s="90" t="n">
        <v>9.9</v>
      </c>
    </row>
    <row r="295" ht="17.25" customHeight="1" s="66">
      <c r="A295" s="65" t="inlineStr">
        <is>
          <t>251903</t>
        </is>
      </c>
      <c r="B295" s="68" t="inlineStr">
        <is>
          <t>제조업</t>
        </is>
      </c>
      <c r="C295" s="68" t="inlineStr">
        <is>
          <t>고무 및 플라스틱제품 제조업</t>
        </is>
      </c>
      <c r="D295" s="68" t="inlineStr">
        <is>
          <t>기타 고무제품 제조업</t>
        </is>
      </c>
      <c r="E295" s="68" t="inlineStr">
        <is>
          <t>고무 패킹류 제조업</t>
        </is>
      </c>
      <c r="F295" s="68" t="inlineStr">
        <is>
          <t>◦관 이음매 또는 틈새 따위에 물이나 공기가 새지 않도록 끼워 넣는 고무제 개스킷, 마개, 와셔, 실(seal, 봉함재) 등 밀봉용 고무제품을 제조하는 산업활동을 말한다. 이러한 제품은 가황하거나 방직용 섬유물질, 철심 등으로 보강한 것을 포함한다.
&lt;예 시&gt;
·고무 패킹 제조
·고무 디스크(disc), 링(ring) 및 와셔(washer) 제조</t>
        </is>
      </c>
      <c r="G295" s="90" t="n">
        <v>92</v>
      </c>
      <c r="H295" s="90" t="n">
        <v>0</v>
      </c>
      <c r="I295" s="90" t="n">
        <v>8.1</v>
      </c>
    </row>
    <row r="296" ht="17.25" customHeight="1" s="66">
      <c r="A296" s="65" t="inlineStr">
        <is>
          <t>251904</t>
        </is>
      </c>
      <c r="B296" s="68" t="inlineStr">
        <is>
          <t>제조업</t>
        </is>
      </c>
      <c r="C296" s="68" t="inlineStr">
        <is>
          <t>고무 및 플라스틱제품 제조업</t>
        </is>
      </c>
      <c r="D296" s="68" t="inlineStr">
        <is>
          <t>기타 고무제품 제조업</t>
        </is>
      </c>
      <c r="E296" s="68" t="inlineStr">
        <is>
          <t>고무 의류 및 기타 위생용 비경화 고무제품 제조업</t>
        </is>
      </c>
      <c r="F296" s="68" t="inlineStr">
        <is>
          <t>◦비경화 가황 고무를 압출◦성형◦접합하여 의복, 의복 액세서리 및 기타 위생용 고무제품을 제조하는 산업활동을 말한다.
&lt;예 시&gt;
·고무 장갑 및 모자 제조
·방사선 방호복 제조
·잠수복 제조
·고무 젖꼭지 제조
·의류 및 의류 부속품 제조
·콘돔 및 피임용품 제조
·위생용품 및 의료용품 제조
&lt;제 외&gt;
·고무 신발 제조(192004)</t>
        </is>
      </c>
      <c r="G296" s="90" t="n">
        <v>89</v>
      </c>
      <c r="H296" s="90" t="n">
        <v>0</v>
      </c>
      <c r="I296" s="90" t="n">
        <v>12.2</v>
      </c>
    </row>
    <row r="297" ht="17.25" customHeight="1" s="66">
      <c r="A297" s="65" t="inlineStr">
        <is>
          <t>252101</t>
        </is>
      </c>
      <c r="B297" s="68" t="inlineStr">
        <is>
          <t>제조업</t>
        </is>
      </c>
      <c r="C297" s="68" t="inlineStr">
        <is>
          <t>고무 및 플라스틱제품 제조업</t>
        </is>
      </c>
      <c r="D297" s="68" t="inlineStr">
        <is>
          <t>1차 플라스틱제품 제조업</t>
        </is>
      </c>
      <c r="E297" s="68" t="inlineStr">
        <is>
          <t>플라스틱 선, 봉, 관 및 호스 제조업</t>
        </is>
      </c>
      <c r="F297" s="68" t="inlineStr">
        <is>
          <t>◦원료 상태의 플라스틱 물질을 비발포 성형하여 선, 봉, 관 및 관 연결구류, 튜브, 호스, 벨트 및 유사제품을 제조하는 산업활동을 말한다.
&lt;예 시&gt;
·플라스틱 선, 로드, 스틱, 프로파일, 튜브, 파이프, 호스 및 그 부착물 제조(플라스틱 비발포제)
·플라스틱 물질을 적층 가공한 선, 봉, 관 및 호스 제조
·기타일반 성형 제1차 플라스틱제품</t>
        </is>
      </c>
      <c r="G297" s="90" t="n">
        <v>89.2</v>
      </c>
      <c r="H297" s="90" t="n">
        <v>0</v>
      </c>
      <c r="I297" s="90" t="n">
        <v>11.6</v>
      </c>
    </row>
    <row r="298" ht="17.25" customHeight="1" s="66">
      <c r="A298" s="65" t="inlineStr">
        <is>
          <t>252102</t>
        </is>
      </c>
      <c r="B298" s="68" t="inlineStr">
        <is>
          <t>제조업</t>
        </is>
      </c>
      <c r="C298" s="68" t="inlineStr">
        <is>
          <t>고무 및 플라스틱제품 제조업</t>
        </is>
      </c>
      <c r="D298" s="68" t="inlineStr">
        <is>
          <t>1차 플라스틱제품 제조업</t>
        </is>
      </c>
      <c r="E298" s="68" t="inlineStr">
        <is>
          <t>플라스틱 필름 제조업</t>
        </is>
      </c>
      <c r="F298" s="68" t="inlineStr">
        <is>
          <t>◦폴리에틸렌필름의 농협 납품분에 한함</t>
        </is>
      </c>
      <c r="G298" s="90" t="n">
        <v>94.2</v>
      </c>
      <c r="H298" s="90" t="n">
        <v>0</v>
      </c>
      <c r="I298" s="90" t="n">
        <v>11.1</v>
      </c>
    </row>
    <row r="299" ht="17.25" customHeight="1" s="66">
      <c r="A299" s="65" t="inlineStr">
        <is>
          <t>252103</t>
        </is>
      </c>
      <c r="B299" s="68" t="inlineStr">
        <is>
          <t>제조업</t>
        </is>
      </c>
      <c r="C299" s="68" t="inlineStr">
        <is>
          <t>고무 및 플라스틱제품 제조업</t>
        </is>
      </c>
      <c r="D299" s="68" t="inlineStr">
        <is>
          <t>1차 플라스틱제품 제조업</t>
        </is>
      </c>
      <c r="E299" s="68" t="inlineStr">
        <is>
          <t>플라스틱 합성피혁 제조업</t>
        </is>
      </c>
      <c r="F299" s="68" t="inlineStr">
        <is>
          <t>◦섬유 물질 등의 지지물에 플라스틱 물질을 피복 성형하여 플라스틱 합성피혁을 제조하는 산업활동을 말한다.
&lt;제 외&gt;
·섬유물질을 주재료로 하고 플라스틱 물질을 도포하는 경우(172905)</t>
        </is>
      </c>
      <c r="G299" s="90" t="n">
        <v>92.8</v>
      </c>
      <c r="H299" s="90" t="n">
        <v>0</v>
      </c>
      <c r="I299" s="90" t="n">
        <v>8</v>
      </c>
    </row>
    <row r="300" ht="17.25" customHeight="1" s="66">
      <c r="A300" s="65" t="inlineStr">
        <is>
          <t>252105</t>
        </is>
      </c>
      <c r="B300" s="68" t="inlineStr">
        <is>
          <t>제조업</t>
        </is>
      </c>
      <c r="C300" s="68" t="inlineStr">
        <is>
          <t>고무 및 플라스틱제품 제조업</t>
        </is>
      </c>
      <c r="D300" s="68" t="inlineStr">
        <is>
          <t>1차 플라스틱제품 제조업</t>
        </is>
      </c>
      <c r="E300" s="68" t="inlineStr">
        <is>
          <t>플라스틱 필름 제조업</t>
        </is>
      </c>
      <c r="F300" s="68" t="inlineStr">
        <is>
          <t>◦원료 상태의 플라스틱 물질을 비발포 성형하여 두께 0.25mm 미만의 연질성, 경질성 플라스틱 필름, 스트립, 포일, 랩 등을 제조하는 산업활동을 말한다.
&lt;예 시&gt;
·폴리에틸렌 필름(PE) 제조
·폴리프로필렌 필름(PP) 제조
·폴리염화비닐 필름(PVC) 제조
·폴리에스터 필름(PET) 제조
&lt;제 외&gt;
·벽, 바닥 피복용 플라스틱제품 제조(252303)
·플라스틱 합성피혁 제조(252103)
·구입한 플라스틱 필름을 재료로 접착 플라스틱 테이프 및 필름 등 제조(252403)
*폴리에틸렌필름의 농협 납품분(→252102)</t>
        </is>
      </c>
      <c r="G300" s="90" t="n">
        <v>92.8</v>
      </c>
      <c r="H300" s="90" t="n">
        <v>0</v>
      </c>
      <c r="I300" s="90" t="n">
        <v>7.8</v>
      </c>
    </row>
    <row r="301" ht="17.25" customHeight="1" s="66">
      <c r="A301" s="65" t="inlineStr">
        <is>
          <t>252106</t>
        </is>
      </c>
      <c r="B301" s="68" t="inlineStr">
        <is>
          <t>제조업</t>
        </is>
      </c>
      <c r="C301" s="68" t="inlineStr">
        <is>
          <t>고무 및 플라스틱제품 제조업</t>
        </is>
      </c>
      <c r="D301" s="68" t="inlineStr">
        <is>
          <t>1차 플라스틱제품 제조업</t>
        </is>
      </c>
      <c r="E301" s="68" t="inlineStr">
        <is>
          <t>플라스틱 시트 및 판 제조업</t>
        </is>
      </c>
      <c r="F301" s="68" t="inlineStr">
        <is>
          <t>◦원료 상태의 플라스틱 물질을 비발포 성형하여 스트립, 시트, 판상의 플라스틱제품을 제조하는 산업활동을 말한다.
&lt;예 시&gt;
·플라스틱 시트(0.25mm 이상 연질성 제품) 제조
·플라스틱 판(0.25mm 이상 경질성 제품) 제조
&lt;제 외&gt;
·벽, 바닥 피복용 플라스틱제품 제조(252303)
·플라스틱 합성피혁 제조(252103)
·구입한 시트 및 판 등을 재료로 만든 접착 플라스틱 제품 등 제조(252403)</t>
        </is>
      </c>
      <c r="G301" s="90" t="n">
        <v>92.8</v>
      </c>
      <c r="H301" s="90" t="n">
        <v>0</v>
      </c>
      <c r="I301" s="90" t="n">
        <v>11.1</v>
      </c>
    </row>
    <row r="302" ht="17.25" customHeight="1" s="66">
      <c r="A302" s="65" t="inlineStr">
        <is>
          <t>252200</t>
        </is>
      </c>
      <c r="B302" s="68" t="inlineStr">
        <is>
          <t>제조업</t>
        </is>
      </c>
      <c r="C302" s="68" t="inlineStr">
        <is>
          <t>고무 및 플라스틱제품 제조업</t>
        </is>
      </c>
      <c r="D302" s="68" t="inlineStr">
        <is>
          <t>플라스틱 발포 성형제품 제조업</t>
        </is>
      </c>
      <c r="E302" s="68" t="inlineStr">
        <is>
          <t>폴리스티렌 발포 성형제품 제조업</t>
        </is>
      </c>
      <c r="F302" s="68" t="inlineStr">
        <is>
          <t>◦원료 상태의 폴리스티렌 수지에 탄화수소 가스 등을 주입시킨 후 이를 증기로 부풀린 발포 성형제품을 제조하는 산업활동을 말한다. 폴리스티렌 발포 성형제품은 내수성ㆍ단열성ㆍ방음성ㆍ완충성 등이 우수하여 컵, 그릇, 접시, 포장 용기, 운송용 포장재, 건축재료, 농수산물 상자 등에 널리 사용된다. 발포 원단을 구입하여 성형제품을 제조하는 경우도 포함한다.
&lt;예 시&gt;
·스티로폼 제조
·정형 스티로폼 제품 제조
·EPS(expanded polystyrene) 성형제품 제조
·EPS제 아이스박스ㆍ부표 제조
&lt;제 외&gt;
·플라스틱 합성피혁 제조(252103)
·벽 및 바닥 피복용 플라스틱 제품 제조(252303)
·우레탄 발포 성형제품(우레탄폼) 제조(252201)</t>
        </is>
      </c>
      <c r="G302" s="90" t="n">
        <v>93.3</v>
      </c>
      <c r="H302" s="90" t="n">
        <v>0</v>
      </c>
      <c r="I302" s="90" t="n">
        <v>8.6</v>
      </c>
    </row>
    <row r="303" ht="17.25" customHeight="1" s="66">
      <c r="A303" s="65" t="inlineStr">
        <is>
          <t>252201</t>
        </is>
      </c>
      <c r="B303" s="68" t="inlineStr">
        <is>
          <t>제조업</t>
        </is>
      </c>
      <c r="C303" s="68" t="inlineStr">
        <is>
          <t>고무 및 플라스틱제품 제조업</t>
        </is>
      </c>
      <c r="D303" s="68" t="inlineStr">
        <is>
          <t>플라스틱 발포 성형제품 제조업</t>
        </is>
      </c>
      <c r="E303" s="68" t="inlineStr">
        <is>
          <t>기타 플라스틱 발포 성형제품 제조업</t>
        </is>
      </c>
      <c r="F303" s="68" t="inlineStr">
        <is>
          <t>◦원료 상태의 폴리우레탄, 폴리프로필렌 등 플라스틱 물질(폴리스티렌 제외)을 발포 성형하여 판, 관, 용기 등 각종 용도의 발포 성형제품을 제조하는 산업활동을 말한다. 건축용, 포장용, 기계◦장비 조립용 등 각종 용도의 발포 성형제품 제조를 포함하며, 발포 원단을 구입하여 성형제품을 제조하는 경우도 포함한다.
&lt;예 시&gt;
·우레탄 스펀지 제조
·우레탄 발포 성형제품 제조
·발포 성형한 플라스틱제의 판, 시트 및 스트립 제조(폴리스티렌 발포제품 제외)
&lt;제 외&gt;
·스티로폼 제조
·정형 스티로폼 제품 제조
·플라스틱 합성피혁 제조(252103)
·벽 및 바닥 피복용 플라스틱 제품 제조(252303)</t>
        </is>
      </c>
      <c r="G303" s="90" t="n">
        <v>93.3</v>
      </c>
      <c r="H303" s="90" t="n">
        <v>0</v>
      </c>
      <c r="I303" s="90" t="n">
        <v>10.6</v>
      </c>
    </row>
    <row r="304" ht="17.25" customHeight="1" s="66">
      <c r="A304" s="65" t="inlineStr">
        <is>
          <t>252301</t>
        </is>
      </c>
      <c r="B304" s="68" t="inlineStr">
        <is>
          <t>제조업</t>
        </is>
      </c>
      <c r="C304" s="68" t="inlineStr">
        <is>
          <t>고무 및 플라스틱제품 제조업</t>
        </is>
      </c>
      <c r="D304" s="68" t="inlineStr">
        <is>
          <t>건축용 플라스틱제품 제조업</t>
        </is>
      </c>
      <c r="E304" s="68" t="inlineStr">
        <is>
          <t>설치용 및 위생용 플라스틱제품 제조업</t>
        </is>
      </c>
      <c r="F304" s="68" t="inlineStr">
        <is>
          <t>◦플라스틱 물질을 성형하여 설치용 또는 저장용의 목욕통, 배관 조직, 탱크 및 유사용기 등을 성형 제조하는 산업활동을 말한다. 변기용 시트 및 커버 등 배관 조직에 결합되는 위생용 플라스틱 제품을 제조하는 경우도 포함한다. 가정용 일반 플라스틱 용품, 포장용 또는 운반용 플라스틱 용기를 제조하는 산업활동은 제외된다.
&lt;예 시&gt;
·세면기, 화장실용 팬, 분뇨 정화조 제조
·설치용, 저장용 플라스틱 탱크 및 유사 용기 제조
&lt;제 외&gt;
·1차형 플라스틱제품을 절단·가공 및 조립하여 창틀, 문 제조(252400)
·플라스틱 선, 봉, 관 및 관 연결구류, 튜브, 호스, 벨트 등 1차 플라스틱 제품 제조(252101)</t>
        </is>
      </c>
      <c r="G304" s="90" t="n">
        <v>90.7</v>
      </c>
      <c r="H304" s="90" t="n">
        <v>0</v>
      </c>
      <c r="I304" s="90" t="n">
        <v>8.6</v>
      </c>
    </row>
    <row r="305" ht="17.25" customHeight="1" s="66">
      <c r="A305" s="65" t="inlineStr">
        <is>
          <t>252303</t>
        </is>
      </c>
      <c r="B305" s="68" t="inlineStr">
        <is>
          <t>제조업</t>
        </is>
      </c>
      <c r="C305" s="68" t="inlineStr">
        <is>
          <t>고무 및 플라스틱제품 제조업</t>
        </is>
      </c>
      <c r="D305" s="68" t="inlineStr">
        <is>
          <t>건축용 플라스틱제품 제조업</t>
        </is>
      </c>
      <c r="E305" s="68" t="inlineStr">
        <is>
          <t>벽 및 바닥 피복용 플라스틱 제품 제조업</t>
        </is>
      </c>
      <c r="F305" s="68" t="inlineStr">
        <is>
          <t>◦원료 상태의 플라스틱 물질을 비발포 성형하여 롤상 또는 타일상 등의 벽, 천정 및 바닥 피복용 제품(접착성을 가진 제품 포함)을 제조하는 산업활동을 말한다.
&lt;예 시&gt;
·비닐 벽지 제조
·플라스틱제 타일 제조                
·플라스틱제 벽돌 제조
·바닥 피복용 플라스틱 제품 제조       
·플라스틱제 바닥깔개</t>
        </is>
      </c>
      <c r="G305" s="90" t="n">
        <v>90.7</v>
      </c>
      <c r="H305" s="90" t="n">
        <v>0</v>
      </c>
      <c r="I305" s="90" t="n">
        <v>10.7</v>
      </c>
    </row>
    <row r="306" ht="17.25" customHeight="1" s="66">
      <c r="A306" s="65" t="inlineStr">
        <is>
          <t>252400</t>
        </is>
      </c>
      <c r="B306" s="68" t="inlineStr">
        <is>
          <t>제조업</t>
        </is>
      </c>
      <c r="C306" s="68" t="inlineStr">
        <is>
          <t>고무 및 플라스틱제품 제조업</t>
        </is>
      </c>
      <c r="D306" s="68" t="inlineStr">
        <is>
          <t>건축용 플라스틱제품 제조업</t>
        </is>
      </c>
      <c r="E306" s="68" t="inlineStr">
        <is>
          <t>플라스틱 창호 제조업</t>
        </is>
      </c>
      <c r="F306" s="68" t="inlineStr">
        <is>
          <t>◦1차 형태의 플라스틱 제품을 절단, 접합, 조립 및 기타 방법으로 가공하여 플라스틱 물질이 주된 재료가 되는 플라스틱 문, 창문, 문틀 등을 제조하는 산업활동을 말한다.
&lt;예 시&gt;
·창문 및 문틀 제조
&lt;제 외&gt;
·새시바(sash bar) 등 1차 형태의 건축용 플라스틱 제품 제조(252101)</t>
        </is>
      </c>
      <c r="G306" s="90" t="n">
        <v>92.59999999999999</v>
      </c>
      <c r="H306" s="90" t="n">
        <v>0</v>
      </c>
      <c r="I306" s="90" t="n">
        <v>8.800000000000001</v>
      </c>
    </row>
    <row r="307" ht="17.25" customHeight="1" s="66">
      <c r="A307" s="65" t="inlineStr">
        <is>
          <t>252401</t>
        </is>
      </c>
      <c r="B307" s="68" t="inlineStr">
        <is>
          <t>제조업</t>
        </is>
      </c>
      <c r="C307" s="68" t="inlineStr">
        <is>
          <t>고무 및 플라스틱제품 제조업</t>
        </is>
      </c>
      <c r="D307" s="68" t="inlineStr">
        <is>
          <t>건축용 플라스틱제품 제조업</t>
        </is>
      </c>
      <c r="E307" s="68" t="inlineStr">
        <is>
          <t>기타 건축용 플라스틱 조립제품 제조업</t>
        </is>
      </c>
      <c r="F307" s="68" t="inlineStr">
        <is>
          <t>◦1차 형태의 플라스틱 제품을 성형, 절단, 접합, 조립 등의 방법으로 가공하여 플라스틱이 주된 재료가 되는 기타 건축용 조립 구조재를 제조하는 산업활동을 말한다.
&lt;예 시&gt;
·플라스틱제 건축 구조재 제조
&lt;제 외&gt;
·새시바 등 1차 형태의 건축용 플라스틱제품 제조(252101)
·플라스틱 창호 제조(252400)</t>
        </is>
      </c>
      <c r="G307" s="90" t="n">
        <v>92.59999999999999</v>
      </c>
      <c r="H307" s="90" t="n">
        <v>0</v>
      </c>
      <c r="I307" s="90" t="n">
        <v>9.800000000000001</v>
      </c>
    </row>
    <row r="308" ht="17.25" customHeight="1" s="66">
      <c r="A308" s="65" t="inlineStr">
        <is>
          <t>252402</t>
        </is>
      </c>
      <c r="B308" s="68" t="inlineStr">
        <is>
          <t>제조업</t>
        </is>
      </c>
      <c r="C308" s="68" t="inlineStr">
        <is>
          <t>고무 및 플라스틱제품 제조업</t>
        </is>
      </c>
      <c r="D308" s="68" t="inlineStr">
        <is>
          <t>포장용 플라스틱제품 제조업</t>
        </is>
      </c>
      <c r="E308" s="68" t="inlineStr">
        <is>
          <t>플라스틱 포대, 봉투 및 유사제품 제조업</t>
        </is>
      </c>
      <c r="F308" s="68" t="inlineStr">
        <is>
          <t>◦플라스틱 필름, 시트, 판 등을 절단◦접합하여 상품 포장 또는 운반용 포대, 봉투 및 기타 유사 용기를 제조하는 산업활동을 말한다.
&lt;예 시&gt;
·플라스틱 포대 제조
·플라스틱 봉투 제조
&lt;제 외&gt;
·재봉방법에 의한 플라스틱 포대 제조(172107)</t>
        </is>
      </c>
      <c r="G308" s="90" t="n">
        <v>92.59999999999999</v>
      </c>
      <c r="H308" s="90" t="n">
        <v>0</v>
      </c>
      <c r="I308" s="90" t="n">
        <v>12.7</v>
      </c>
    </row>
    <row r="309" ht="17.25" customHeight="1" s="66">
      <c r="A309" s="65" t="inlineStr">
        <is>
          <t>252403</t>
        </is>
      </c>
      <c r="B309" s="68" t="inlineStr">
        <is>
          <t>제조업</t>
        </is>
      </c>
      <c r="C309" s="68" t="inlineStr">
        <is>
          <t>고무 및 플라스틱제품 제조업</t>
        </is>
      </c>
      <c r="D309" s="68" t="inlineStr">
        <is>
          <t>기타 플라스틱 제품 제조업</t>
        </is>
      </c>
      <c r="E309" s="68" t="inlineStr">
        <is>
          <t>플라스틱 접착처리 제품 제조업</t>
        </is>
      </c>
      <c r="F309" s="68" t="inlineStr">
        <is>
          <t>◦플라스틱 제품 표면에 접착 물질을 처리한 판, 시트, 필름, 박, 테이프 또는 스트립과 기타 평면 및 롤 형태의 제품을 제조하는 산업활동을 말한다.
&lt;예 시&gt;
·접착용 비닐테이프 제조
&lt;제 외&gt;
·플라스틱제 합성피혁 제조(252103)
·감광 또는 자기 물질을 처리하여 음성, 영상 및 기타 현상 기록용 매체 제조(242902)
·접착성 있는 플라스틱제 바닥깔개, 벽 및 천장 피복재 제조(252303)
·플라스틱 필름을 제조하고 연관공정으로 접착 처리한 제품 제조(252105)</t>
        </is>
      </c>
      <c r="G309" s="90" t="n">
        <v>92.59999999999999</v>
      </c>
      <c r="H309" s="90" t="n">
        <v>0</v>
      </c>
      <c r="I309" s="90" t="n">
        <v>9.800000000000001</v>
      </c>
    </row>
    <row r="310" ht="17.25" customHeight="1" s="66">
      <c r="A310" s="65" t="inlineStr">
        <is>
          <t>252404</t>
        </is>
      </c>
      <c r="B310" s="68" t="inlineStr">
        <is>
          <t>제조업</t>
        </is>
      </c>
      <c r="C310" s="68" t="inlineStr">
        <is>
          <t>고무 및 플라스틱제품 제조업</t>
        </is>
      </c>
      <c r="D310" s="68" t="inlineStr">
        <is>
          <t>기타 플라스틱 제품 제조업</t>
        </is>
      </c>
      <c r="E310" s="68" t="inlineStr">
        <is>
          <t>플라스틱 적층, 도포 및 기타 표면처리 제품 제조업</t>
        </is>
      </c>
      <c r="F310" s="68" t="inlineStr">
        <is>
          <t>◦판상의 플라스틱 제품 표면에 금속 물질 및 기타 물질을 도포, 도장◦피복 등을 하여 특수용 플라스틱 표면 가공품을 제조하는 산업활동을 말한다.
&lt;예 시&gt;
·금속 도포 플라스틱 필름 제조
·표면 도포 플라스틱 시트 및 판재 생산
&lt;제 외&gt;
·플라스틱제 합성피혁 제조(252103)
·감광 또는 자기 물질을 처리하여 음성, 영상 및 기타 현상 기록용 매체 제조(242902)
·플라스틱 접착처리 제품 제조(252403)</t>
        </is>
      </c>
      <c r="G310" s="90" t="n">
        <v>92.59999999999999</v>
      </c>
      <c r="H310" s="90" t="n">
        <v>0</v>
      </c>
      <c r="I310" s="90" t="n">
        <v>9.800000000000001</v>
      </c>
    </row>
    <row r="311" ht="17.25" customHeight="1" s="66">
      <c r="A311" s="65" t="inlineStr">
        <is>
          <t>252901</t>
        </is>
      </c>
      <c r="B311" s="68" t="inlineStr">
        <is>
          <t>제조업</t>
        </is>
      </c>
      <c r="C311" s="68" t="inlineStr">
        <is>
          <t>고무 및 플라스틱제품 제조업</t>
        </is>
      </c>
      <c r="D311" s="68" t="inlineStr">
        <is>
          <t>포장용 플라스틱제품 제조업</t>
        </is>
      </c>
      <c r="E311" s="68" t="inlineStr">
        <is>
          <t>포장용 플라스틱 성형용기 제조업</t>
        </is>
      </c>
      <c r="F311" s="68" t="inlineStr">
        <is>
          <t>◦플라스틱 물질을 성형하여 병, 통, 상자 등의 플라스틱 포장용 또는 운반용의 용기, 마개 및 관련제품을 제조하는 산업활동을 말한다.
&lt;예 시&gt;
·플라스틱제 운반 및 포장용기 제조
·플라스틱제 용기 뚜껑, 마개 제조
&lt;제 외&gt;
·발포 플라스틱용기 제조(252201)
·설치용 및 위생용 플라스틱 용기 제조(252301)
·필름상의 1차 플라스틱제품을 절단, 접합 가공하여 포대, 봉투 및 유사 용기제조(252402)</t>
        </is>
      </c>
      <c r="G311" s="90" t="n">
        <v>92.3</v>
      </c>
      <c r="H311" s="90" t="n">
        <v>0</v>
      </c>
      <c r="I311" s="90" t="n">
        <v>9.800000000000001</v>
      </c>
    </row>
    <row r="312" ht="17.25" customHeight="1" s="66">
      <c r="A312" s="65" t="inlineStr">
        <is>
          <t>252902</t>
        </is>
      </c>
      <c r="B312" s="68" t="inlineStr">
        <is>
          <t>제조업</t>
        </is>
      </c>
      <c r="C312" s="68" t="inlineStr">
        <is>
          <t>고무 및 플라스틱제품 제조업</t>
        </is>
      </c>
      <c r="D312" s="68" t="inlineStr">
        <is>
          <t>기타 플라스틱 제품 제조업</t>
        </is>
      </c>
      <c r="E312" s="68" t="inlineStr">
        <is>
          <t>그 외 기타 플라스틱 제품 제조업</t>
        </is>
      </c>
      <c r="F312" s="68" t="inlineStr">
        <is>
          <t>◦가정용 플라스틱 일반성형 제품
&lt;예 시&gt;
·식탁 및 주방용품, 위생 및 화장용품, 장식용품 등 플라스틱 성형제품
·플라스틱제도마, 플라스틱제식기, 수저통(플라스틱제), 쓰레기통(플라스틱제), 돼지저금통(플라스틱제)</t>
        </is>
      </c>
      <c r="G312" s="90" t="n">
        <v>92.7</v>
      </c>
      <c r="H312" s="90" t="n">
        <v>0</v>
      </c>
      <c r="I312" s="90" t="n">
        <v>9.9</v>
      </c>
    </row>
    <row r="313" ht="17.25" customHeight="1" s="66">
      <c r="A313" s="65" t="inlineStr">
        <is>
          <t>252903</t>
        </is>
      </c>
      <c r="B313" s="68" t="inlineStr">
        <is>
          <t>제조업</t>
        </is>
      </c>
      <c r="C313" s="68" t="inlineStr">
        <is>
          <t>고무 및 플라스틱제품 제조업</t>
        </is>
      </c>
      <c r="D313" s="68" t="inlineStr">
        <is>
          <t>기계장비 조립용 플라스틱제품 제조업</t>
        </is>
      </c>
      <c r="E313" s="68" t="inlineStr">
        <is>
          <t>운송장비 조립용 플라스틱제품 제조업</t>
        </is>
      </c>
      <c r="F313" s="68" t="inlineStr">
        <is>
          <t>◦플라스틱 물질을 성형하여 자동차 및 각종 운송장비 제품의 조립용 구성품 및 내장품을 제조하는 산업활동을 말한다.
&lt;예 시&gt;
·운송장비 조립용 부분품 제조
·사출 성형품을 추가 가공 및 조립하여 운송장비 조립용 구성품 및 부품을 제조하고, 달리 분류되지 않은 경우에는 그 운송장비 제조업으로 분류
&lt;제 외&gt;
·운송장비 이외의 기계 및 장비류 조립용 플라스틱제품 제조(252904)</t>
        </is>
      </c>
      <c r="G313" s="90" t="n">
        <v>92.3</v>
      </c>
      <c r="H313" s="90" t="n">
        <v>0</v>
      </c>
      <c r="I313" s="90" t="n">
        <v>8.4</v>
      </c>
    </row>
    <row r="314" ht="17.25" customHeight="1" s="66">
      <c r="A314" s="65" t="inlineStr">
        <is>
          <t>252904</t>
        </is>
      </c>
      <c r="B314" s="68" t="inlineStr">
        <is>
          <t>제조업</t>
        </is>
      </c>
      <c r="C314" s="68" t="inlineStr">
        <is>
          <t>고무 및 플라스틱제품 제조업</t>
        </is>
      </c>
      <c r="D314" s="68" t="inlineStr">
        <is>
          <t>기계장비 조립용 플라스틱제품 제조업</t>
        </is>
      </c>
      <c r="E314" s="68" t="inlineStr">
        <is>
          <t>기타 기계ㆍ장비 조립용 플라스틱제품 제조업</t>
        </is>
      </c>
      <c r="F314" s="68" t="inlineStr">
        <is>
          <t>◦플라스틱 물질을 성형하여 운송장비 조립용 이외의 각종 기계 및 장비 또는 기타 제품의 조립용 구성품 및 내장품을 제조하는 산업활동을 말한다.
&lt;예 시&gt;
·기타 기계장비(운송장비 제외) 조립용 플라스틱 부분품 제조
·공업용 플라스틱제품 제조
·전기 애자 및 절연용 물품(제품 전체 부분이 플라스틱제인 경우) 제조
·플라스틱제 램프와 조명기구, 조명용 네임 플레이트 및 이와 유사한 제품의 부분품 제조
·사출 성형품을 추가 가공 및 조립하여 특정 기계·장비 조립용 구성품 및 부품을 제조하고, 달리 분류되지 않은 경우에는 그 기계·장비 제조업으로 분류
&lt;제 외&gt;
·건축용 플라스틱 제품 성형 제조(252301,252303,252400,252401)
·발포 플라스틱 제품 제조(252200, 252201)
·플라스틱 가구 제조(361003)</t>
        </is>
      </c>
      <c r="G314" s="90" t="n">
        <v>92.3</v>
      </c>
      <c r="H314" s="90" t="n">
        <v>0</v>
      </c>
      <c r="I314" s="90" t="n">
        <v>10.3</v>
      </c>
    </row>
    <row r="315" ht="17.25" customHeight="1" s="66">
      <c r="A315" s="65" t="inlineStr">
        <is>
          <t>252909</t>
        </is>
      </c>
      <c r="B315" s="68" t="inlineStr">
        <is>
          <t>제조업</t>
        </is>
      </c>
      <c r="C315" s="68" t="inlineStr">
        <is>
          <t>고무 및 플라스틱제품 제조업</t>
        </is>
      </c>
      <c r="D315" s="68" t="inlineStr">
        <is>
          <t>기타 플라스틱 제품 제조업</t>
        </is>
      </c>
      <c r="E315" s="68" t="inlineStr">
        <is>
          <t>그 외 기타 플라스틱 제품 제조업</t>
        </is>
      </c>
      <c r="F315" s="68" t="inlineStr">
        <is>
          <t>◦플라스틱 모자, 플라스틱 의복 및 기타 플라스틱 성형제품, 구입한 1차 플라스틱제품을 절단◦접합 및 기타 가공하여 기타 플라스틱 가공품을 제조하는 산업활동을 말한다.
&lt;예 시&gt;
·플라스틱 인조 잔디 제조
·플라스틱 헬멧 및 안전모 제조
·플라스틱 성형 의복 제조
·플라스틱제 사무 및 학용품 제조
·플라스틱제 자석 제조
&lt;제 외&gt;
·포장용 또는 운반용 플라스틱 성형 용기 제조(252901)
·플라스틱 절연재료 제조(252904)
·플라스틱 물질 원료를 착색, 혼합, 배합한 가공 원료 및 재생 원료(수지) 생산(241303)
·덮개를 씌우지 않은 셀룰러 플라스틱 매트리스 제조(361005)
·재생 플라스틱제품 제조용 이차 원료 생산(372000)
·플라스틱 물질과 산화물을 혼합해서 자석 제조용 플라스틱 시트를 제조하는 경우(252106)
*가정용 플라스틱 일반성형 제품(→252902)</t>
        </is>
      </c>
      <c r="G315" s="90" t="n">
        <v>93.09999999999999</v>
      </c>
      <c r="H315" s="90" t="n">
        <v>0</v>
      </c>
      <c r="I315" s="90" t="n">
        <v>8.9</v>
      </c>
    </row>
    <row r="316" ht="17.25" customHeight="1" s="66">
      <c r="A316" s="65" t="inlineStr">
        <is>
          <t>261001</t>
        </is>
      </c>
      <c r="B316" s="68" t="inlineStr">
        <is>
          <t>제조업</t>
        </is>
      </c>
      <c r="C316" s="68" t="inlineStr">
        <is>
          <t>비금속 광물제품 제조업</t>
        </is>
      </c>
      <c r="D316" s="68" t="inlineStr">
        <is>
          <t>판유리 및 판유리 가공품 제조업</t>
        </is>
      </c>
      <c r="E316" s="68" t="inlineStr">
        <is>
          <t>판유리 제조업</t>
        </is>
      </c>
      <c r="F316" s="68" t="inlineStr">
        <is>
          <t>◦판유리를 제조하는 산업활동을 말한다.
&lt;예 시&gt;
·플로트 판유리 제조
·표면 연마 판유리 제조
·망입 판유리 제조</t>
        </is>
      </c>
      <c r="G316" s="90" t="n">
        <v>86.40000000000001</v>
      </c>
      <c r="H316" s="90" t="n">
        <v>0</v>
      </c>
      <c r="I316" s="90" t="n">
        <v>11.3</v>
      </c>
    </row>
    <row r="317" ht="17.25" customHeight="1" s="66">
      <c r="A317" s="65" t="inlineStr">
        <is>
          <t>261002</t>
        </is>
      </c>
      <c r="B317" s="68" t="inlineStr">
        <is>
          <t>제조업</t>
        </is>
      </c>
      <c r="C317" s="68" t="inlineStr">
        <is>
          <t>비금속 광물제품 제조업</t>
        </is>
      </c>
      <c r="D317" s="68" t="inlineStr">
        <is>
          <t>기타 유리제품 제조업</t>
        </is>
      </c>
      <c r="E317" s="68" t="inlineStr">
        <is>
          <t>가정용 유리제품 제조업</t>
        </is>
      </c>
      <c r="F317" s="68" t="inlineStr">
        <is>
          <t>◦식탁 및 주방용 유리제품, 화장실용 또는 문구용 유리제품 등을 성형 제조하는 산업활동을 말한다.
&lt;예 시&gt;
·식탁용 유리제품 성형 제조
·문구용 유리제품 성형 제조
·화장실용 유리제품 성형 제조
·생활용 유리제품 성형 제조
&lt;제 외&gt;
·판유리를 가공한 가정용 유리제품 제조(261005)</t>
        </is>
      </c>
      <c r="G317" s="90" t="n">
        <v>89.5</v>
      </c>
      <c r="H317" s="90" t="n">
        <v>0</v>
      </c>
      <c r="I317" s="90" t="n">
        <v>9.9</v>
      </c>
    </row>
    <row r="318" ht="17.25" customHeight="1" s="66">
      <c r="A318" s="65" t="inlineStr">
        <is>
          <t>261004</t>
        </is>
      </c>
      <c r="B318" s="68" t="inlineStr">
        <is>
          <t>제조업</t>
        </is>
      </c>
      <c r="C318" s="68" t="inlineStr">
        <is>
          <t>비금속 광물제품 제조업</t>
        </is>
      </c>
      <c r="D318" s="68" t="inlineStr">
        <is>
          <t>판유리 및 판유리 가공품 제조업</t>
        </is>
      </c>
      <c r="E318" s="68" t="inlineStr">
        <is>
          <t>안전유리 제조업</t>
        </is>
      </c>
      <c r="F318" s="68" t="inlineStr">
        <is>
          <t>◦구입한 판유리를 가공하여 차량 등 운송장비용, 건축용 등에 사용하는 각종 강화유리와 접합유리를 제조하는 산업활동을 말한다.
&lt;예 시&gt;
·열 강화유리, 화학 강화유리 제조
·합판 유리, 샌드위치 유리 제조
&lt;제 외&gt;
·복층 절연유리 제조(261005)
·거울유리 제조(261005)
·디스플레이 장치용 및 태양전지용 기판유리 제조(261007)</t>
        </is>
      </c>
      <c r="G318" s="90" t="n">
        <v>89.5</v>
      </c>
      <c r="H318" s="90" t="n">
        <v>0</v>
      </c>
      <c r="I318" s="90" t="n">
        <v>10.9</v>
      </c>
    </row>
    <row r="319" ht="17.25" customHeight="1" s="66">
      <c r="A319" s="65" t="inlineStr">
        <is>
          <t>261005</t>
        </is>
      </c>
      <c r="B319" s="68" t="inlineStr">
        <is>
          <t>제조업</t>
        </is>
      </c>
      <c r="C319" s="68" t="inlineStr">
        <is>
          <t>비금속 광물제품 제조업</t>
        </is>
      </c>
      <c r="D319" s="68" t="inlineStr">
        <is>
          <t>판유리 및 판유리 가공품 제조업</t>
        </is>
      </c>
      <c r="E319" s="68" t="inlineStr">
        <is>
          <t>기타 판유리 가공품 제조업</t>
        </is>
      </c>
      <c r="F319" s="68" t="inlineStr">
        <is>
          <t>◦구입한 판유리를 용해하지 않고 절단◦조립◦가열 및 냉각◦변형◦식각, 적층 및 복층◦표면처리◦착색 및 표면 장식 등에 의하여 거울용 및 차량용 유리제품, 상자 및 케이스, 복층 및 적층유리, 곡상 유리제품 등 판유리 가공품을 제조하는 산업활동을 말한다. 판유리로 가공한 가정용 유리제품도 포함한다.
&lt;예 시&gt;
·자동차 백미러(뒷거울) 제조
·복층 절연유리 제조
·거울 유리 제조
·착색 유리, 코팅 유리, 곡유리 제조
&lt;제 외&gt;
·포장용 유리병 및 앰플 제조(261009)
·구입한 판유리로 목걸이, 팔찌 등의 모조 장신품 제조(369501)</t>
        </is>
      </c>
      <c r="G319" s="90" t="n">
        <v>89.5</v>
      </c>
      <c r="H319" s="90" t="n">
        <v>0</v>
      </c>
      <c r="I319" s="90" t="n">
        <v>10.9</v>
      </c>
    </row>
    <row r="320" ht="17.25" customHeight="1" s="66">
      <c r="A320" s="65" t="inlineStr">
        <is>
          <t>261006</t>
        </is>
      </c>
      <c r="B320" s="68" t="inlineStr">
        <is>
          <t>제조업</t>
        </is>
      </c>
      <c r="C320" s="68" t="inlineStr">
        <is>
          <t>비금속 광물제품 제조업</t>
        </is>
      </c>
      <c r="D320" s="68" t="inlineStr">
        <is>
          <t>산업용 유리 제조업</t>
        </is>
      </c>
      <c r="E320" s="68" t="inlineStr">
        <is>
          <t>1차 유리제품, 유리섬유 및 광학용 유리 제조업</t>
        </is>
      </c>
      <c r="F320" s="68" t="inlineStr">
        <is>
          <t>◦구, 봉, 관, 슬래브, 괴 등 각종 형태의 1차 유리제품, 압출, 사출 및 기타 성형하여 제조한 유리섬유, 유리사(실) 및 솜, 직조하지 않은 부직포형 유리섬유제 보일, 웨브, 매트 등과 각종 광학기구 제조에 사용되는 미연마 유리를 제조하는 산업활동을 말한다.
&lt;예 시&gt;
·연마하지 않은 안경유리 제조
·유리섬유 슬라이버(sliver), 로빙(roving), 실(사), 솜 제조
·유리섬유 보일(voiles), 웨브(webs), 매트, 매트리스, 보드 등 직조하지 않은 부직포형 제품 제조
&lt;제 외&gt;
·연마 가공한 광학용 유리제품 제조(332003,332004)
·유리섬유 직물(171116) 및 그 직물제품 제조(해당 산업활동으로 분류)</t>
        </is>
      </c>
      <c r="G320" s="90" t="n">
        <v>89.5</v>
      </c>
      <c r="H320" s="90" t="n">
        <v>0</v>
      </c>
      <c r="I320" s="90" t="n">
        <v>10.9</v>
      </c>
    </row>
    <row r="321" ht="17.25" customHeight="1" s="66">
      <c r="A321" s="65" t="inlineStr">
        <is>
          <t>261007</t>
        </is>
      </c>
      <c r="B321" s="68" t="inlineStr">
        <is>
          <t>제조업</t>
        </is>
      </c>
      <c r="C321" s="68" t="inlineStr">
        <is>
          <t>비금속 광물제품 제조업</t>
        </is>
      </c>
      <c r="D321" s="68" t="inlineStr">
        <is>
          <t>산업용 유리 제조업</t>
        </is>
      </c>
      <c r="E321" s="68" t="inlineStr">
        <is>
          <t>디스플레이 장치용 유리 제조업</t>
        </is>
      </c>
      <c r="F321" s="68" t="inlineStr">
        <is>
          <t>◦무알칼리 유리 또는 소다석회 유리 등을 소재로 연마, 코팅 등 표면 가공하여 각종 디스플레이 장치(LCD, OLED, PDP 등) 소재로 사용되는 기판 유리를 제조하는 산업활동을 말한다. 저철분 유리 소재로 가공한 태양전지용 기판 유리도 포함한다.
&lt;예 시&gt;
·LCD용 무알칼리 기판 유리 제조
·PDP용 소다석회 기판 유리 제조
·OLED용 무알칼리 기판 유리 제조
·태양전지용 저철분 기판 유리 제조
·ITO용 기판 유리 제조
&lt;제 외&gt;
·차량용, 건축용 플로트 판유리 제조(261001)
·화학 강화유리 제조(261004)</t>
        </is>
      </c>
      <c r="G321" s="90" t="n">
        <v>89.5</v>
      </c>
      <c r="H321" s="90" t="n">
        <v>0</v>
      </c>
      <c r="I321" s="90" t="n">
        <v>10.9</v>
      </c>
    </row>
    <row r="322" ht="17.25" customHeight="1" s="66">
      <c r="A322" s="65" t="inlineStr">
        <is>
          <t>261008</t>
        </is>
      </c>
      <c r="B322" s="68" t="inlineStr">
        <is>
          <t>제조업</t>
        </is>
      </c>
      <c r="C322" s="68" t="inlineStr">
        <is>
          <t>비금속 광물제품 제조업</t>
        </is>
      </c>
      <c r="D322" s="68" t="inlineStr">
        <is>
          <t>산업용 유리 제조업</t>
        </is>
      </c>
      <c r="E322" s="68" t="inlineStr">
        <is>
          <t>기타 산업용 유리제품 제조업</t>
        </is>
      </c>
      <c r="F322" s="68" t="inlineStr">
        <is>
          <t>◦압출, 사출 및 기타 성형하여 전구용 유리관 및 구, 유리 애자 및 절연 부착물, 조명기구용 유리제품, 이화학◦위생 및 약제용 유리제품, 벽돌 및 타일, 슬래브 등의 건축용 유리제품, 시계유리, 신호등, 보온병 속의 유리제품 등 기타 산업용 성형 유리제품을 제조하는 산업활동을 말한다.
&lt;예 시&gt;
·유리제 전자기기용, 전구 등 조명기기용 외피, 밸브와 튜브 제조
·전부가 유리로 된 애자, 전기 절연체 성형 제조
·진공 플라스크 또는 기타의 진공 용기에 사용되는 유리제의 내장품 제조
·건축용 블록(block), 패널(panel), 플레이트(plate), 쉘(shell) 또는 다공성 유리 제조
·건축용 다공질 유리 및 관련 제품 제조
·증류 및 배양 플라스크, 눈금 있는 항아리, 증발 접시 제조
·시계용 유리 제조
&lt;제 외&gt;
·일반 운반용 플라스크, 항아리 제조(261009)
·광학유리 생지 제조(261006)
·구입한 광학유리 생지 가공활동(332003,332004)       
·포장 또는 운반용 유리 용기 제조(261009)
·직접 사용될 수 있도록 조립된 애자 및 전기 절연체 제조(319004)</t>
        </is>
      </c>
      <c r="G322" s="90" t="n">
        <v>89.5</v>
      </c>
      <c r="H322" s="90" t="n">
        <v>0</v>
      </c>
      <c r="I322" s="90" t="n">
        <v>10.9</v>
      </c>
    </row>
    <row r="323" ht="17.25" customHeight="1" s="66">
      <c r="A323" s="65" t="inlineStr">
        <is>
          <t>261009</t>
        </is>
      </c>
      <c r="B323" s="68" t="inlineStr">
        <is>
          <t>제조업</t>
        </is>
      </c>
      <c r="C323" s="68" t="inlineStr">
        <is>
          <t>비금속 광물제품 제조업</t>
        </is>
      </c>
      <c r="D323" s="68" t="inlineStr">
        <is>
          <t>기타 유리제품 제조업</t>
        </is>
      </c>
      <c r="E323" s="68" t="inlineStr">
        <is>
          <t>포장용 유리용기 제조업</t>
        </is>
      </c>
      <c r="F323" s="68" t="inlineStr">
        <is>
          <t>◦압출, 사출, 접착 및 기타 방법으로 성형하여 음◦식료품, 화장품, 화공 약품 및 기타 상품의 포장 또는 운반용에 사용되는 유리용기 및 관련제품을 제조하는 산업활동을 말한다.
&lt;예 시&gt;
·유리 앰플 제조
·유리병 및 유리제 마개류 제조
&lt;제 외&gt;
·가정용 유리용기 및 관련제품 제조(261002)
·판유리를 가공하여 포장용 유리상자 및 케이스 제조(261005)</t>
        </is>
      </c>
      <c r="G323" s="90" t="n">
        <v>89.5</v>
      </c>
      <c r="H323" s="90" t="n">
        <v>0</v>
      </c>
      <c r="I323" s="90" t="n">
        <v>10.9</v>
      </c>
    </row>
    <row r="324" ht="17.25" customHeight="1" s="66">
      <c r="A324" s="65" t="inlineStr">
        <is>
          <t>261011</t>
        </is>
      </c>
      <c r="B324" s="68" t="inlineStr">
        <is>
          <t>제조업</t>
        </is>
      </c>
      <c r="C324" s="68" t="inlineStr">
        <is>
          <t>비금속 광물제품 제조업</t>
        </is>
      </c>
      <c r="D324" s="68" t="inlineStr">
        <is>
          <t>기타 유리제품 제조업</t>
        </is>
      </c>
      <c r="E324" s="68" t="inlineStr">
        <is>
          <t>그 외 기타 유리제품 제조업</t>
        </is>
      </c>
      <c r="F324" s="68" t="inlineStr">
        <is>
          <t>◦광학 유리 및 판유리, 구, 봉, 관, 슬래브, 괴 등 각종 형태의 1차 유리제품을 제외한 유리제의 모조 진주, 모조 귀석, 유사 장식용 유리제품 등 기타 유리제품을 제조하는 산업활동을 말한다.
&lt;예 시&gt;
·유리제 비드(bead) 제조
·유리제 소상(모조 신변 장신품 제외) 제조
·유리제 안구(인형용, 로봇용 등) 제조
·프로파일상 유리 제조
&lt;제 외&gt;
·보정용 인조 안구(眼球) 제조(331105)        
·기계장치로 움직이는 완구용 유리 안구(369402)
·건설용 유리제품 제조(261008)           
·광학유리 생지, 유리섬유 및 유리사 제조(261006)
·요업용 등 도포제 조제에 사용되는 유리 프리트(frit) 또는 분상, 입상 및 플레이크(flake)상 유리 제조(242205)</t>
        </is>
      </c>
      <c r="G324" s="90" t="n">
        <v>89.5</v>
      </c>
      <c r="H324" s="90" t="n">
        <v>0</v>
      </c>
      <c r="I324" s="90" t="n">
        <v>10.9</v>
      </c>
    </row>
    <row r="325" ht="17.25" customHeight="1" s="66">
      <c r="A325" s="65" t="inlineStr">
        <is>
          <t>269100</t>
        </is>
      </c>
      <c r="B325" s="68" t="inlineStr">
        <is>
          <t>제조업</t>
        </is>
      </c>
      <c r="C325" s="68" t="inlineStr">
        <is>
          <t>비금속 광물제품 제조업</t>
        </is>
      </c>
      <c r="D325" s="68" t="inlineStr">
        <is>
          <t>비내화 일반 도자기 제조업</t>
        </is>
      </c>
      <c r="E325" s="68" t="inlineStr">
        <is>
          <t>가정용 및 장식용 도자기 제조업</t>
        </is>
      </c>
      <c r="F325" s="68" t="inlineStr">
        <is>
          <t>◦주방용, 식탁용 및 장식용 도기, 자기 및 토기를 제조하는 산업활동을 말한다. 도자기를 장식 처리하는 활동도 포함한다.
&lt;예 시&gt;
·가정용 토기제품 제조
·도자기제 조상 제조
·도자기 화병 제조
·장식용 도자기제품 제조
&lt;제 외&gt;
·위생용 도자기제품 제조(269101)
·도관 및 건축용 도자기제품 제조(269300~269302)</t>
        </is>
      </c>
      <c r="G325" s="90" t="n">
        <v>88.59999999999999</v>
      </c>
      <c r="H325" s="90" t="n">
        <v>0</v>
      </c>
      <c r="I325" s="90" t="n">
        <v>10.8</v>
      </c>
    </row>
    <row r="326" ht="17.25" customHeight="1" s="66">
      <c r="A326" s="65" t="inlineStr">
        <is>
          <t>269101</t>
        </is>
      </c>
      <c r="B326" s="68" t="inlineStr">
        <is>
          <t>제조업</t>
        </is>
      </c>
      <c r="C326" s="68" t="inlineStr">
        <is>
          <t>비금속 광물제품 제조업</t>
        </is>
      </c>
      <c r="D326" s="68" t="inlineStr">
        <is>
          <t>비내화 일반 도자기 제조업</t>
        </is>
      </c>
      <c r="E326" s="68" t="inlineStr">
        <is>
          <t>위생용 및 산업용 도자기 제조업</t>
        </is>
      </c>
      <c r="F326" s="68" t="inlineStr">
        <is>
          <t>◦상◦하수도 조직과 통상적으로 연결되어 건물 내에 고정 설치되는 세면대, 변기, 개수대 등 각종 위생용품을 제조하는 산업활동과 이화학용, 전기 기기용 및 기타 산업용 도기제품을 제조하는 산업활동을 말한다.
&lt;예 시&gt;
·개수대(싱크대) 제조
·위생용기(세면대, 변기 등) 제조
·목욕통 제조
·전기용 도자기제품 제조
·전자기용 세라믹제품 제조
·전기 애자 및 절연제품 제조
·세라믹 및 페라이트제 자석 제조
&lt;제 외&gt;
·상·하수도 조직과 직접 연결되는 도관, 배관 연결구류 제조(269302)</t>
        </is>
      </c>
      <c r="G326" s="90" t="n">
        <v>88.59999999999999</v>
      </c>
      <c r="H326" s="90" t="n">
        <v>0</v>
      </c>
      <c r="I326" s="90" t="n">
        <v>11.1</v>
      </c>
    </row>
    <row r="327" ht="17.25" customHeight="1" s="66">
      <c r="A327" s="65" t="inlineStr">
        <is>
          <t>269102</t>
        </is>
      </c>
      <c r="B327" s="68" t="inlineStr">
        <is>
          <t>제조업</t>
        </is>
      </c>
      <c r="C327" s="68" t="inlineStr">
        <is>
          <t>비금속 광물제품 제조업</t>
        </is>
      </c>
      <c r="D327" s="68" t="inlineStr">
        <is>
          <t>비내화 일반 도자기 제조업</t>
        </is>
      </c>
      <c r="E327" s="68" t="inlineStr">
        <is>
          <t>기타 일반 도자기 제조업</t>
        </is>
      </c>
      <c r="F327" s="68" t="inlineStr">
        <is>
          <t>◦일반용의 상자 및 케이스, 램프 갓 및 램프 부품, 문 손잡이 등의 기타 일반 도자기제품을 제조하는 활동과 도기 제조용 조제 원료를 생산하는 활동을 말한다.
&lt;예 시&gt;
·상자 및 케이스 제조
·잉크 스탠드 제조
·도자기 제조용 조제 원료 제조
·램프 갓 및 램프 부품 제조
&lt;제 외&gt;
·요업용 유약 제조(242205)</t>
        </is>
      </c>
      <c r="G327" s="90" t="n">
        <v>88.59999999999999</v>
      </c>
      <c r="H327" s="90" t="n">
        <v>0</v>
      </c>
      <c r="I327" s="90" t="n">
        <v>4.5</v>
      </c>
    </row>
    <row r="328" ht="17.25" customHeight="1" s="66">
      <c r="A328" s="65" t="inlineStr">
        <is>
          <t>269200</t>
        </is>
      </c>
      <c r="B328" s="68" t="inlineStr">
        <is>
          <t>제조업</t>
        </is>
      </c>
      <c r="C328" s="68" t="inlineStr">
        <is>
          <t>비금속 광물제품 제조업</t>
        </is>
      </c>
      <c r="D328" s="68" t="inlineStr">
        <is>
          <t>내화 요업제품 제조업</t>
        </is>
      </c>
      <c r="E328" s="68" t="inlineStr">
        <is>
          <t>정형 내화 요업제품 제조업</t>
        </is>
      </c>
      <c r="F328" s="68" t="inlineStr">
        <is>
          <t>◦각종 내화용 원료로 건축용 또는 구조물용의 단열 및 내화용 정형제품을 제조하는 산업활동을 말한다.
&lt;예 시&gt;
·내화 벽돌 및 타일 제조
·구조용 내화 요업제품 제조
·건설용 내화 요업제품 제조
·건축용 내화 요업제품 제조
·레토르트 제조
·도가니 제조       
·반응 그릇 제조
·머플 제조
·노즐 제조       
·플럭 제조
·튜브와 파이프 제조
&lt;제 외&gt;
·내화 모르타르제품 제조(269201)</t>
        </is>
      </c>
      <c r="G328" s="90" t="n">
        <v>91.90000000000001</v>
      </c>
      <c r="H328" s="90" t="n">
        <v>0</v>
      </c>
      <c r="I328" s="90" t="n">
        <v>17.4</v>
      </c>
    </row>
    <row r="329" ht="17.25" customHeight="1" s="66">
      <c r="A329" s="65" t="inlineStr">
        <is>
          <t>269201</t>
        </is>
      </c>
      <c r="B329" s="68" t="inlineStr">
        <is>
          <t>제조업</t>
        </is>
      </c>
      <c r="C329" s="68" t="inlineStr">
        <is>
          <t>비금속 광물제품 제조업</t>
        </is>
      </c>
      <c r="D329" s="68" t="inlineStr">
        <is>
          <t>내화 요업제품 제조업</t>
        </is>
      </c>
      <c r="E329" s="68" t="inlineStr">
        <is>
          <t>부정형 내화 요업제품 제조업</t>
        </is>
      </c>
      <c r="F329" s="68" t="inlineStr">
        <is>
          <t>◦각종 부정형 내화물 및 내화용 조제 배합원료를 제조하는 산업활동을 말하며, 소성처리 여부는 불문한다.
&lt;예 시&gt;
·내화물용 조제 배합원료 제조
·알루미나 제조(보오크사이트 원광 이외 물질 사용)
·내화 시멘트, 내화 모르타르, 내화 콘크리트 및 기타 내화용 혼합물 제조
·내화용 조제 배합원료 제조(알루미나, 실리카 또는 이들의 혼합물 중량이 50% 이상인 것)
·샤모트 제조
·다이나스어드(Dinas earth) 제조</t>
        </is>
      </c>
      <c r="G329" s="90" t="n">
        <v>91.90000000000001</v>
      </c>
      <c r="H329" s="90" t="n">
        <v>0</v>
      </c>
      <c r="I329" s="90" t="n">
        <v>17.4</v>
      </c>
    </row>
    <row r="330" ht="17.25" customHeight="1" s="66">
      <c r="A330" s="65" t="inlineStr">
        <is>
          <t>269300</t>
        </is>
      </c>
      <c r="B330" s="68" t="inlineStr">
        <is>
          <t>제조업</t>
        </is>
      </c>
      <c r="C330" s="68" t="inlineStr">
        <is>
          <t>비금속 광물제품 제조업</t>
        </is>
      </c>
      <c r="D330" s="68" t="inlineStr">
        <is>
          <t>건축용 비내화 요업제품 제조업</t>
        </is>
      </c>
      <c r="E330" s="68" t="inlineStr">
        <is>
          <t>타일 및 유사 비내화 요업제품 제조업</t>
        </is>
      </c>
      <c r="F330" s="68" t="inlineStr">
        <is>
          <t>◦흙을 구워서 벽, 벽난로 또는 도로포장용 등에 사용되는 타일, 판석 및 유사 비내화 요업제품을 제조하는 산업활동을 말한다.
&lt;예 시&gt;
·벽 타일 제조
·포장용 타일 제조     
·모자이크 타일 제조
·포석 제조
&lt;제 외&gt;
·도로 포장용 콘크리트 블록 및 벽돌 제조(269504)</t>
        </is>
      </c>
      <c r="G330" s="90" t="n">
        <v>91.5</v>
      </c>
      <c r="H330" s="90" t="n">
        <v>0</v>
      </c>
      <c r="I330" s="90" t="n">
        <v>11.4</v>
      </c>
    </row>
    <row r="331" ht="17.25" customHeight="1" s="66">
      <c r="A331" s="65" t="inlineStr">
        <is>
          <t>269301</t>
        </is>
      </c>
      <c r="B331" s="68" t="inlineStr">
        <is>
          <t>제조업</t>
        </is>
      </c>
      <c r="C331" s="68" t="inlineStr">
        <is>
          <t>비금속 광물제품 제조업</t>
        </is>
      </c>
      <c r="D331" s="68" t="inlineStr">
        <is>
          <t>건축용 비내화 요업제품 제조업</t>
        </is>
      </c>
      <c r="E331" s="68" t="inlineStr">
        <is>
          <t>점토 벽돌, 블록 및 유사 비내화 요업제품 제조업</t>
        </is>
      </c>
      <c r="F331" s="68" t="inlineStr">
        <is>
          <t>◦점토를 성형하고 구워서 건물 및 구조물 축조, 바닥 포장 등에 사용되는 벽돌, 블록, 기와 등 비내화 요업제품 및 관련제품을 제조하는 산업활동을 말한다.
&lt;예 시&gt;
·점토 벽돌 및 블록(조적용, 포장용) 제조
·미장 벽돌 및 블록(조적용) 제조
·점토 바닥 벽돌 및 블록(포장용) 제조
·굴뚝용 벽돌 및 블록 제조
&lt;제 외&gt;
·도로 포장용 콘크리트 블록 및 벽돌 제조(269504)
·비내화성 벽 및 바닥 포장용 요업타일 제조(269300)</t>
        </is>
      </c>
      <c r="G331" s="90" t="n">
        <v>91.5</v>
      </c>
      <c r="H331" s="90" t="n">
        <v>0</v>
      </c>
      <c r="I331" s="90" t="n">
        <v>12.4</v>
      </c>
    </row>
    <row r="332" ht="17.25" customHeight="1" s="66">
      <c r="A332" s="65" t="inlineStr">
        <is>
          <t>269302</t>
        </is>
      </c>
      <c r="B332" s="68" t="inlineStr">
        <is>
          <t>제조업</t>
        </is>
      </c>
      <c r="C332" s="68" t="inlineStr">
        <is>
          <t>비금속 광물제품 제조업</t>
        </is>
      </c>
      <c r="D332" s="68" t="inlineStr">
        <is>
          <t>건축용 비내화 요업제품 제조업</t>
        </is>
      </c>
      <c r="E332" s="68" t="inlineStr">
        <is>
          <t>기타 건축용 비내화 요업제품 제조업</t>
        </is>
      </c>
      <c r="F332" s="68" t="inlineStr">
        <is>
          <t>◦각종 비금속 광물을 성형하고 구워서 도관, 배관 연결구류, 연탄난로 라이너 등을 생산하는 산업활동을 말한다.
&lt;예 시&gt;
·연탄난로 라이너
·홈통 제조
·배관 연결구류 제조
·건축물 구조재 제조
·설치용 물탱크 제조</t>
        </is>
      </c>
      <c r="G332" s="90" t="n">
        <v>91.5</v>
      </c>
      <c r="H332" s="90" t="n">
        <v>0</v>
      </c>
      <c r="I332" s="90" t="n">
        <v>12.4</v>
      </c>
    </row>
    <row r="333" ht="17.25" customHeight="1" s="66">
      <c r="A333" s="65" t="inlineStr">
        <is>
          <t>269401</t>
        </is>
      </c>
      <c r="B333" s="68" t="inlineStr">
        <is>
          <t>제조업</t>
        </is>
      </c>
      <c r="C333" s="68" t="inlineStr">
        <is>
          <t>비금속 광물제품 제조업</t>
        </is>
      </c>
      <c r="D333" s="68" t="inlineStr">
        <is>
          <t>시멘트, 석회 및 플라스터 제조업</t>
        </is>
      </c>
      <c r="E333" s="68" t="inlineStr">
        <is>
          <t>시멘트 제조업</t>
        </is>
      </c>
      <c r="F333" s="68" t="inlineStr">
        <is>
          <t>◦석회석을 소성하여 각종 시멘트를 생산하는 산업활동을 말한다. 실리카, 알루미나 또는 철 등을 함유한 물질을 첨가할 수도 있다.
&lt;예 시&gt;
·포졸란 시멘트 제조
·로만 시멘트 제조
·점토 시멘트 제조
·백색 시멘트 제조
·섬유질 시멘트 제조
·알루미나 시멘트 제조
·시멘트 클링커 제조
·포틀랜드 시멘트 제조
&lt;제 외&gt;
·치과용 시멘트 제조(242309)
·킨스 시멘트 제조(269403)
·제철 용광로 슬래그 생산활동(271101~271104)</t>
        </is>
      </c>
      <c r="G333" s="90" t="n">
        <v>95.3</v>
      </c>
      <c r="H333" s="90" t="n">
        <v>0</v>
      </c>
      <c r="I333" s="90" t="n">
        <v>25.3</v>
      </c>
    </row>
    <row r="334" ht="17.25" customHeight="1" s="66">
      <c r="A334" s="65" t="inlineStr">
        <is>
          <t>269402</t>
        </is>
      </c>
      <c r="B334" s="68" t="inlineStr">
        <is>
          <t>제조업</t>
        </is>
      </c>
      <c r="C334" s="68" t="inlineStr">
        <is>
          <t>비금속 광물제품 제조업</t>
        </is>
      </c>
      <c r="D334" s="68" t="inlineStr">
        <is>
          <t>시멘트, 석회 및 플라스터 제조업</t>
        </is>
      </c>
      <c r="E334" s="68" t="inlineStr">
        <is>
          <t>석회 및 플라스터 제조업</t>
        </is>
      </c>
      <c r="F334" s="68" t="inlineStr">
        <is>
          <t>◦석회석을 소성하여 생석회, 소석회 및 수경성 석회를 생산하는 산업활동을 말한다.
&lt;예 시&gt;
·돌로마이트 석회 제조
·생석회 및 소석회 제조
&lt;제 외&gt;
*플라스터 제조(→269403)</t>
        </is>
      </c>
      <c r="G334" s="90" t="n">
        <v>93.09999999999999</v>
      </c>
      <c r="H334" s="90" t="n">
        <v>0</v>
      </c>
      <c r="I334" s="90" t="n">
        <v>25.3</v>
      </c>
    </row>
    <row r="335" ht="17.25" customHeight="1" s="66">
      <c r="A335" s="65" t="inlineStr">
        <is>
          <t>269403</t>
        </is>
      </c>
      <c r="B335" s="68" t="inlineStr">
        <is>
          <t>제조업</t>
        </is>
      </c>
      <c r="C335" s="68" t="inlineStr">
        <is>
          <t>비금속 광물제품 제조업</t>
        </is>
      </c>
      <c r="D335" s="68" t="inlineStr">
        <is>
          <t>시멘트, 석회 및 플라스터 제조업</t>
        </is>
      </c>
      <c r="E335" s="68" t="inlineStr">
        <is>
          <t>석회 및 플라스터 제조업</t>
        </is>
      </c>
      <c r="F335" s="68" t="inlineStr">
        <is>
          <t>◦석고를 하소하여 부분적으로 또는 완전히 탈수한 황산칼슘을 기본 재료로 플라스터를 제조하는 산업활동을 말한다.
&lt;예 시&gt;
·플라스터 제조
·킨스 시멘트 제조
·하소 석고 제조
&lt;제 외&gt;
·석고 및 경석고 채취활동(141002)
·치과용으로 특별히 가공한 플라스터 제조(242309)
*석회 제조(→269402)</t>
        </is>
      </c>
      <c r="G335" s="90" t="n">
        <v>95.3</v>
      </c>
      <c r="H335" s="90" t="n">
        <v>0</v>
      </c>
      <c r="I335" s="90" t="n">
        <v>25.3</v>
      </c>
    </row>
    <row r="336" ht="17.25" customHeight="1" s="66">
      <c r="A336" s="65" t="inlineStr">
        <is>
          <t>269501</t>
        </is>
      </c>
      <c r="B336" s="68" t="inlineStr">
        <is>
          <t>제조업</t>
        </is>
      </c>
      <c r="C336" s="68" t="inlineStr">
        <is>
          <t>비금속 광물제품 제조업</t>
        </is>
      </c>
      <c r="D336" s="68" t="inlineStr">
        <is>
          <t>콘크리트, 레미콘 및 기타 시멘트, 플라스터 제품 제조업</t>
        </is>
      </c>
      <c r="E336" s="68" t="inlineStr">
        <is>
          <t>레미콘 제조업</t>
        </is>
      </c>
      <c r="F336" s="68" t="inlineStr">
        <is>
          <t>◦시멘트와 모래, 자갈 등의 광물성 물질 혼합물에 물을 첨가하여 굳지 않은 상태로 구매자에게 공급하는 콘크리트용 비내화 혼합물을 제조하는 산업활동을 말한다.
&lt;예 시&gt;
·비내화 레미콘 제조
&lt;제 외&gt;
·플라스터 혼합물 제조(269502)
·비내화성 모르타르 제조(269505)</t>
        </is>
      </c>
      <c r="G336" s="90" t="n">
        <v>91.90000000000001</v>
      </c>
      <c r="H336" s="90" t="n">
        <v>0</v>
      </c>
      <c r="I336" s="90" t="n">
        <v>18.8</v>
      </c>
    </row>
    <row r="337" ht="17.25" customHeight="1" s="66">
      <c r="A337" s="65" t="inlineStr">
        <is>
          <t>269502</t>
        </is>
      </c>
      <c r="B337" s="68" t="inlineStr">
        <is>
          <t>제조업</t>
        </is>
      </c>
      <c r="C337" s="68" t="inlineStr">
        <is>
          <t>비금속 광물제품 제조업</t>
        </is>
      </c>
      <c r="D337" s="68" t="inlineStr">
        <is>
          <t>콘크리트, 레미콘 및 기타 시멘트, 플라스터 제품 제조업</t>
        </is>
      </c>
      <c r="E337" s="68" t="inlineStr">
        <is>
          <t>플라스터 혼합제품 제조업</t>
        </is>
      </c>
      <c r="F337" s="68" t="inlineStr">
        <is>
          <t>◦플라스터를 주재료로 제조한 혼합물 및 플라스터 제품을 제조하는 산업활동을 말한다.
&lt;제 외&gt;
·섬유시멘트 제품 제조(269506, 269507)</t>
        </is>
      </c>
      <c r="G337" s="90" t="n">
        <v>93.90000000000001</v>
      </c>
      <c r="H337" s="90" t="n">
        <v>0</v>
      </c>
      <c r="I337" s="90" t="n">
        <v>18.8</v>
      </c>
    </row>
    <row r="338" ht="17.25" customHeight="1" s="66">
      <c r="A338" s="65" t="inlineStr">
        <is>
          <t>269503</t>
        </is>
      </c>
      <c r="B338" s="68" t="inlineStr">
        <is>
          <t>제조업</t>
        </is>
      </c>
      <c r="C338" s="68" t="inlineStr">
        <is>
          <t>비금속 광물제품 제조업</t>
        </is>
      </c>
      <c r="D338" s="68" t="inlineStr">
        <is>
          <t>콘크리트, 레미콘 및 기타 시멘트, 플라스터 제품 제조업</t>
        </is>
      </c>
      <c r="E338" s="68" t="inlineStr">
        <is>
          <t>콘크리트 관 및 기타 구조용 콘크리트제품 제조업</t>
        </is>
      </c>
      <c r="F338" s="68" t="inlineStr">
        <is>
          <t>◦철강보강콘크리트 제품
&lt;예 시&gt;
·흄관, 콘크리트(전주, 침목, 파일), 하수구맨홀, 빔, 받침대, 지주, 관
·철도침목, 파이프도관</t>
        </is>
      </c>
      <c r="G338" s="90" t="n">
        <v>90.2</v>
      </c>
      <c r="H338" s="90" t="n">
        <v>0</v>
      </c>
      <c r="I338" s="90" t="n">
        <v>15.9</v>
      </c>
    </row>
    <row r="339" ht="17.25" customHeight="1" s="66">
      <c r="A339" s="65" t="inlineStr">
        <is>
          <t>269504</t>
        </is>
      </c>
      <c r="B339" s="68" t="inlineStr">
        <is>
          <t>제조업</t>
        </is>
      </c>
      <c r="C339" s="68" t="inlineStr">
        <is>
          <t>비금속 광물제품 제조업</t>
        </is>
      </c>
      <c r="D339" s="68" t="inlineStr">
        <is>
          <t>콘크리트, 레미콘 및 기타 시멘트, 플라스터 제품 제조업</t>
        </is>
      </c>
      <c r="E339" s="68" t="inlineStr">
        <is>
          <t>콘크리트 타일, 기와, 벽돌 및 블록 제조업,인조대리석 제품 제조업</t>
        </is>
      </c>
      <c r="F339" s="68" t="inlineStr">
        <is>
          <t>◦콘크리트 또는 인조석을 재료로 토목용, 건축용, 방파제용 등으로 사용되는 벽돌, 블록, 덮개 및 깔판, 타일, 기와 및 관련 제품을 생산하는 산업활동을 말한다.
&lt;예 시&gt;
·타일, 기와, 벽돌, 블록 제조
·인조석제 타일, 벽돌, 블록 및 유사 제품 제조
&lt;제 외&gt;
·토목용, 건축용 조립식 구조재 및 부착물 제조(269508)
*섬유 시멘트(→269507)</t>
        </is>
      </c>
      <c r="G339" s="90" t="n">
        <v>92.3</v>
      </c>
      <c r="H339" s="90" t="n">
        <v>0</v>
      </c>
      <c r="I339" s="90" t="n">
        <v>11</v>
      </c>
    </row>
    <row r="340" ht="17.25" customHeight="1" s="66">
      <c r="A340" s="65" t="inlineStr">
        <is>
          <t>269505</t>
        </is>
      </c>
      <c r="B340" s="68" t="inlineStr">
        <is>
          <t>제조업</t>
        </is>
      </c>
      <c r="C340" s="68" t="inlineStr">
        <is>
          <t>비금속 광물제품 제조업</t>
        </is>
      </c>
      <c r="D340" s="68" t="inlineStr">
        <is>
          <t>콘크리트, 레미콘 및 기타 시멘트, 플라스터 제품 제조업</t>
        </is>
      </c>
      <c r="E340" s="68" t="inlineStr">
        <is>
          <t>비내화 모르타르 제조업</t>
        </is>
      </c>
      <c r="F340" s="68" t="inlineStr">
        <is>
          <t>◦시멘트 또는 비광물성 접착제와 모래를 혼합한 후 물을 첨가하지 않고, 포장하여 미장용 또는 콘크리트용으로 사용되는 혼합물을 제조하는 산업활동을 말한다.
&lt;예 시&gt;
·비내화 모르타르 제조
·미장용 모르타르 제조
·콘크리트용 비광물성 접착제 및 모래혼합물 제조
&lt;제 외&gt;
·물 및 기타 액상 물질을 첨가한 비내화 모르타르 제조(269501)
·내화용 모르타르 제조(269201)</t>
        </is>
      </c>
      <c r="G340" s="90" t="n">
        <v>91.90000000000001</v>
      </c>
      <c r="H340" s="90" t="n">
        <v>0</v>
      </c>
      <c r="I340" s="90" t="n">
        <v>18.8</v>
      </c>
    </row>
    <row r="341" ht="17.25" customHeight="1" s="66">
      <c r="A341" s="65" t="inlineStr">
        <is>
          <t>269506</t>
        </is>
      </c>
      <c r="B341" s="68" t="inlineStr">
        <is>
          <t>제조업</t>
        </is>
      </c>
      <c r="C341" s="68" t="inlineStr">
        <is>
          <t>비금속 광물제품 제조업</t>
        </is>
      </c>
      <c r="D341" s="68" t="inlineStr">
        <is>
          <t>콘크리트, 레미콘 및 기타 시멘트, 플라스터 제품 제조업</t>
        </is>
      </c>
      <c r="E341" s="68" t="inlineStr">
        <is>
          <t>그 외 기타 콘크리트 제품 및 유사 제품 제조업</t>
        </is>
      </c>
      <c r="F341" s="68" t="inlineStr">
        <is>
          <t>◦기타 건축용 섬유 시멘트 제품(“택스”, 식물성 건물재료)</t>
        </is>
      </c>
      <c r="G341" s="90" t="n">
        <v>93.90000000000001</v>
      </c>
      <c r="H341" s="90" t="n">
        <v>0</v>
      </c>
      <c r="I341" s="90" t="n">
        <v>18.8</v>
      </c>
    </row>
    <row r="342" ht="17.25" customHeight="1" s="66">
      <c r="A342" s="65" t="inlineStr">
        <is>
          <t>269507</t>
        </is>
      </c>
      <c r="B342" s="68" t="inlineStr">
        <is>
          <t>제조업</t>
        </is>
      </c>
      <c r="C342" s="68" t="inlineStr">
        <is>
          <t>비금속 광물제품 제조업</t>
        </is>
      </c>
      <c r="D342" s="68" t="inlineStr">
        <is>
          <t>콘크리트, 레미콘 및 기타 시멘트, 플라스터 제품 제조업</t>
        </is>
      </c>
      <c r="E342" s="68" t="inlineStr">
        <is>
          <t>콘크리트 타일, 기와, 벽돌 및 블록 제조업</t>
        </is>
      </c>
      <c r="F342" s="68" t="inlineStr">
        <is>
          <t>◦섬유 시멘트
&lt;예 시&gt;
·시멘트, 석회, 프라스터 등에 셀룰로오스섬유, 유리섬유, 목질섬유 등 섬유질을 혼합·응집· 성형하여 만든 섬유 시멘트제 유사 제품</t>
        </is>
      </c>
      <c r="G342" s="90" t="n">
        <v>90.2</v>
      </c>
      <c r="H342" s="90" t="n">
        <v>0</v>
      </c>
      <c r="I342" s="90" t="n">
        <v>15.9</v>
      </c>
    </row>
    <row r="343" ht="17.25" customHeight="1" s="66">
      <c r="A343" s="65" t="inlineStr">
        <is>
          <t>269508</t>
        </is>
      </c>
      <c r="B343" s="68" t="inlineStr">
        <is>
          <t>제조업</t>
        </is>
      </c>
      <c r="C343" s="68" t="inlineStr">
        <is>
          <t>비금속 광물제품 제조업</t>
        </is>
      </c>
      <c r="D343" s="68" t="inlineStr">
        <is>
          <t>콘크리트, 레미콘 및 기타 시멘트, 플라스터 제품 제조업</t>
        </is>
      </c>
      <c r="E343" s="68" t="inlineStr">
        <is>
          <t>콘크리트 관 및 기타 구조용 콘크리트제품 제조업,인조대리석 제품 제조업</t>
        </is>
      </c>
      <c r="F343" s="68" t="inlineStr">
        <is>
          <t>◦콘크리트 또는 인조석을 재료로 조립식 구조재, 건물 부착용 장치물 등 건축용 또는 토목용의 기타 콘크리트제품을 제조하는 산업활동을 말한다. 시멘트, 석회, 플라스터 등에 셀룰로오스섬유, 유리섬유, 목질섬유 등 섬유질을 혼합․응집․성형하여 만든 섬유시멘트제 유사 제품도 포함한다.
&lt;예 시&gt;
·콘크리트 인조목 제조
·콘크리트 또는 인조석 욕조, 세면대 및 기타 설치용 위생용품 제조
·콘크리트 또는 인조석 조립식 건축자재 제조
·콘크리트 또는 인조석 문틀, 문지방, 벽판 등 건축물 구조재 제조
&lt;제 외&gt;
*철강보강콘크리트 제품 제조(→269503)</t>
        </is>
      </c>
      <c r="G343" s="90" t="n">
        <v>92.3</v>
      </c>
      <c r="H343" s="90" t="n">
        <v>0</v>
      </c>
      <c r="I343" s="90" t="n">
        <v>14.3</v>
      </c>
    </row>
    <row r="344" ht="17.25" customHeight="1" s="66">
      <c r="A344" s="65" t="inlineStr">
        <is>
          <t>269509</t>
        </is>
      </c>
      <c r="B344" s="68" t="inlineStr">
        <is>
          <t>제조업</t>
        </is>
      </c>
      <c r="C344" s="68" t="inlineStr">
        <is>
          <t>비금속 광물제품 제조업</t>
        </is>
      </c>
      <c r="D344" s="68" t="inlineStr">
        <is>
          <t>콘크리트, 레미콘 및 기타 시멘트, 플라스터 제품 제조업</t>
        </is>
      </c>
      <c r="E344" s="68" t="inlineStr">
        <is>
          <t>그 외 기타 콘크리트 제품 및 유사 제품 제조업</t>
        </is>
      </c>
      <c r="F344" s="68" t="inlineStr">
        <is>
          <t xml:space="preserve">◦인공 어초, 조각상, 모형 및 형상, 가구, 화병, 화분 용기, 실험실 용품 등 장식용, 산업용, 가정용 등 각종 용도의 콘크리트제품을 제조하는 산업활동을 말한다. 다른 항목에서 분류되지 않은 석회제품 제조도 포함한다.
&lt;제 외&gt;
*기타 건축용 섬유 시멘트 제품(“택스”, 식물성 건물재료)(→269506) </t>
        </is>
      </c>
      <c r="G344" s="90" t="n">
        <v>92.3</v>
      </c>
      <c r="H344" s="90" t="n">
        <v>0</v>
      </c>
      <c r="I344" s="90" t="n">
        <v>14.3</v>
      </c>
    </row>
    <row r="345" ht="17.25" customHeight="1" s="66">
      <c r="A345" s="65" t="inlineStr">
        <is>
          <t>269601</t>
        </is>
      </c>
      <c r="B345" s="68" t="inlineStr">
        <is>
          <t>제조업</t>
        </is>
      </c>
      <c r="C345" s="68" t="inlineStr">
        <is>
          <t>비금속 광물제품 제조업</t>
        </is>
      </c>
      <c r="D345" s="68" t="inlineStr">
        <is>
          <t>석제품 제조업</t>
        </is>
      </c>
      <c r="E345" s="68" t="inlineStr">
        <is>
          <t>건설용 석제품 제조업</t>
        </is>
      </c>
      <c r="F345" s="68" t="inlineStr">
        <is>
          <t>◦천연 석재 및 응집한 천연 슬레이트(점판암)를 절단◦성형 가공하여 기념비용, 건축용 등 건설용 석제품을 제조하는 산업활동을 말한다.
&lt;예 시&gt;
·건설용 석재 가공품 제조
·건설용 천연 응결 슬레이트제품 제조
·건설용 석재 착색
·벽면 부착용 대리석 제조
·도로 경계석 제조
·바닥용 대리석 제조
·묘지석 제조
·스톤 네트 제조</t>
        </is>
      </c>
      <c r="G345" s="90" t="n">
        <v>93.3</v>
      </c>
      <c r="H345" s="90" t="n">
        <v>0</v>
      </c>
      <c r="I345" s="90" t="n">
        <v>9</v>
      </c>
    </row>
    <row r="346" ht="17.25" customHeight="1" s="66">
      <c r="A346" s="65" t="inlineStr">
        <is>
          <t>269603</t>
        </is>
      </c>
      <c r="B346" s="68" t="inlineStr">
        <is>
          <t>제조업</t>
        </is>
      </c>
      <c r="C346" s="68" t="inlineStr">
        <is>
          <t>비금속 광물제품 제조업</t>
        </is>
      </c>
      <c r="D346" s="68" t="inlineStr">
        <is>
          <t>석제품 제조업</t>
        </is>
      </c>
      <c r="E346" s="68" t="inlineStr">
        <is>
          <t>기타 석제품 제조업</t>
        </is>
      </c>
      <c r="F346" s="68" t="inlineStr">
        <is>
          <t>◦천연 석재 및 응집한 천연 슬레이트(점판암)를 절단◦성형 가공하여 건설용 이외의 석제품을 제조하는 산업활동을 말한다.
&lt;예 시&gt;
·건설용 이외의 석제품 착색
·장식용 석재 가공품 제조</t>
        </is>
      </c>
      <c r="G346" s="90" t="n">
        <v>93.3</v>
      </c>
      <c r="H346" s="90" t="n">
        <v>0</v>
      </c>
      <c r="I346" s="90" t="n">
        <v>5.8</v>
      </c>
    </row>
    <row r="347" ht="17.25" customHeight="1" s="66">
      <c r="A347" s="65" t="inlineStr">
        <is>
          <t>269901</t>
        </is>
      </c>
      <c r="B347" s="68" t="inlineStr">
        <is>
          <t>제조업</t>
        </is>
      </c>
      <c r="C347" s="68" t="inlineStr">
        <is>
          <t>비금속 광물제품 제조업</t>
        </is>
      </c>
      <c r="D347" s="68" t="inlineStr">
        <is>
          <t>그 외 기타 비금속 광물제품 제조업</t>
        </is>
      </c>
      <c r="E347" s="68" t="inlineStr">
        <is>
          <t>암면 및 유사 제품 제조업</t>
        </is>
      </c>
      <c r="F347" s="68" t="inlineStr">
        <is>
          <t>◦인공 무기섬유인 암면(록울(rock wool), 슬래그울(slag wool) 등) 및 유사 광물면(석면 제외), 팽창 점토 및 유사 광물제품, 탄산마그네슘 등을 가공하여 광물질의 절연◦단열◦방음재와 블록, 벽돌, 타일, 튜브, 코드 등의 광물제품을 제조하는 산업활동을 말한다.
&lt;예 시&gt;
·팽창 펄라이트(perlite) 제조
·내화 피복재 제조
·세라믹 파이버 제조
·암면(록울) 제조
·박리한 질석 제조
&lt;제 외&gt;
·유리솜 및 그 제품제조(261006)
·산, 알칼리 등 화학적으로 활성 처리한 광물질 제조(242907)
·석면 및 관련제품 제조(269906)</t>
        </is>
      </c>
      <c r="G347" s="90" t="n">
        <v>89.59999999999999</v>
      </c>
      <c r="H347" s="90" t="n">
        <v>0</v>
      </c>
      <c r="I347" s="90" t="n">
        <v>12.1</v>
      </c>
    </row>
    <row r="348" ht="17.25" customHeight="1" s="66">
      <c r="A348" s="65" t="inlineStr">
        <is>
          <t>269902</t>
        </is>
      </c>
      <c r="B348" s="68" t="inlineStr">
        <is>
          <t>제조업</t>
        </is>
      </c>
      <c r="C348" s="68" t="inlineStr">
        <is>
          <t>비금속 광물제품 제조업</t>
        </is>
      </c>
      <c r="D348" s="68" t="inlineStr">
        <is>
          <t>그 외 기타 비금속 광물제품 제조업</t>
        </is>
      </c>
      <c r="E348" s="68" t="inlineStr">
        <is>
          <t>연마재 제조업</t>
        </is>
      </c>
      <c r="F348" s="68" t="inlineStr">
        <is>
          <t>◦천연석, 응집된 천연 연마재 및 인공 연마재로 각종용의 연마석, 연마휠 및 유사 연마재를 제조하는 산업활동을 말한다.
&lt;예 시&gt;
·연마용 수지석(手砥石) 제조
·동력기계용 연마석 제조
&lt;제 외&gt;
*연마지 및 포, 연마사 제조(→269907)</t>
        </is>
      </c>
      <c r="G348" s="90" t="n">
        <v>94.40000000000001</v>
      </c>
      <c r="H348" s="90" t="n">
        <v>0</v>
      </c>
      <c r="I348" s="90" t="n">
        <v>10.8</v>
      </c>
    </row>
    <row r="349" ht="17.25" customHeight="1" s="66">
      <c r="A349" s="65" t="inlineStr">
        <is>
          <t>269903</t>
        </is>
      </c>
      <c r="B349" s="68" t="inlineStr">
        <is>
          <t>제조업</t>
        </is>
      </c>
      <c r="C349" s="68" t="inlineStr">
        <is>
          <t>비금속 광물제품 제조업</t>
        </is>
      </c>
      <c r="D349" s="68" t="inlineStr">
        <is>
          <t>그 외 기타 비금속 광물제품 제조업</t>
        </is>
      </c>
      <c r="E349" s="68" t="inlineStr">
        <is>
          <t>아스팔트 콘크리트 및 혼합제품 제조업</t>
        </is>
      </c>
      <c r="F349" s="68" t="inlineStr">
        <is>
          <t>◦아스팔트, 콜타르 피치, 석유 역청 등을 주요 재료로 시멘트, 플라스터, 석분, 활석, 섬유류, 수지류 등의 충전물을 혼합하여 굳지 않은 아스팔트 콘크리트(아스콘), 매스틱 등의 아스팔트 혼합제품 및 유사 제품을 생산하는 산업활동을 말한다. 역청 물질 혼합제품 중 재용융하여 사용하는 각종 응결제품(블록 등)을 제조하는 경우도 포함한다.
&lt;예 시&gt;
·아스팔트 콘크리트(아스콘) 제조
·굳지 않은 천연 아스팔트, 석유 아스팔트, 광물성 타르 또는 광물성 타르 피치 등을 주요 재료로 제조한 도로포장용 혼합물 제조
·역청 물질 혼합 블록제품 제조
·아스팔트 매스틱 제조
&lt;제 외&gt;
·포장용 혼합재가 포함되지 않은 스트레이트 아스팔트, 블론 아스팔트, 컷백 아스팔트, 유화 아스팔트, 개질 아스팔트 제조(232201)</t>
        </is>
      </c>
      <c r="G349" s="90" t="n">
        <v>95.59999999999999</v>
      </c>
      <c r="H349" s="90" t="n">
        <v>0</v>
      </c>
      <c r="I349" s="90" t="n">
        <v>14.2</v>
      </c>
    </row>
    <row r="350" ht="17.25" customHeight="1" s="66">
      <c r="A350" s="65" t="inlineStr">
        <is>
          <t>269904</t>
        </is>
      </c>
      <c r="B350" s="68" t="inlineStr">
        <is>
          <t>제조업</t>
        </is>
      </c>
      <c r="C350" s="68" t="inlineStr">
        <is>
          <t>비금속 광물제품 제조업</t>
        </is>
      </c>
      <c r="D350" s="68" t="inlineStr">
        <is>
          <t>그 외 기타 비금속 광물제품 제조업</t>
        </is>
      </c>
      <c r="E350" s="68" t="inlineStr">
        <is>
          <t>비금속광물 분쇄물 생산업</t>
        </is>
      </c>
      <c r="F350" s="68" t="inlineStr">
        <is>
          <t>◦채굴 및 채취활동과 연관되지 않은 중정석, 석고, 활석, 석영, 천연 보석 등 특정 산업용 비금속 광물(연료 광물 제외)을 파쇄◦분쇄◦마쇄하여 분말 및 기타 분쇄물을 생산하는 산업활동을 말한다.
&lt;예 시&gt;
·비금속 광물 분쇄물 생산
·활석, 석영, 천연 보석 분쇄
&lt;제 외&gt;
·농업용 광물슬래그 가공품 제조(241202)
·건축 폐기물 처리활동(900106)</t>
        </is>
      </c>
      <c r="G350" s="90" t="n">
        <v>92.3</v>
      </c>
      <c r="H350" s="90" t="n">
        <v>0</v>
      </c>
      <c r="I350" s="90" t="n">
        <v>14.2</v>
      </c>
    </row>
    <row r="351" ht="17.25" customHeight="1" s="66">
      <c r="A351" s="65" t="inlineStr">
        <is>
          <t>269905</t>
        </is>
      </c>
      <c r="B351" s="68" t="inlineStr">
        <is>
          <t>제조업</t>
        </is>
      </c>
      <c r="C351" s="68" t="inlineStr">
        <is>
          <t>비금속 광물제품 제조업</t>
        </is>
      </c>
      <c r="D351" s="68" t="inlineStr">
        <is>
          <t>그 외 기타 비금속 광물제품 제조업</t>
        </is>
      </c>
      <c r="E351" s="68" t="inlineStr">
        <is>
          <t>탄소섬유 제조업</t>
        </is>
      </c>
      <c r="F351" s="68" t="inlineStr">
        <is>
          <t>◦아크릴로나이트릴, 레이온, 콜타르 피치 등을 재료로 열처리, 탄화, 결정화 등을 거쳐 탄소섬유사 및 관련 탄소섬유 반제품을 제조하는 산업활동을 말한다.
&lt;예 시&gt;
·탄소섬유(CF: cabon fiber) 제조        
·PAN계(폴리아크릴로나이트릴, polyacrylonitrile) 탄소섬유 제조
·레이온계 활성 탄소섬유 제조
&lt;제 외&gt;
·탄소섬유 직물 제조(171116)</t>
        </is>
      </c>
      <c r="G351" s="90" t="n">
        <v>89.59999999999999</v>
      </c>
      <c r="H351" s="90" t="n">
        <v>0</v>
      </c>
      <c r="I351" s="90" t="n">
        <v>12.1</v>
      </c>
    </row>
    <row r="352" ht="17.25" customHeight="1" s="66">
      <c r="A352" s="65" t="inlineStr">
        <is>
          <t>269906</t>
        </is>
      </c>
      <c r="B352" s="68" t="inlineStr">
        <is>
          <t>제조업</t>
        </is>
      </c>
      <c r="C352" s="68" t="inlineStr">
        <is>
          <t>비금속 광물제품 제조업</t>
        </is>
      </c>
      <c r="D352" s="68" t="inlineStr">
        <is>
          <t>그 외 기타 비금속 광물제품 제조업</t>
        </is>
      </c>
      <c r="E352" s="68" t="inlineStr">
        <is>
          <t>그 외 기타 분류 안된 비금속 광물제품 제조업</t>
        </is>
      </c>
      <c r="F352" s="68" t="inlineStr">
        <is>
          <t>◦석면제품
&lt;예 시&gt;
·석면지, 판지 및 펠트
·석면혼합물, 방적석면(석면사 및 직물), 석면제품, 석면의류·신발, 모자, 특수보호용의복
·석면제크러치 훼이싱, 브레이크라이닝 및 패드
·그래파이트                                  
·가스킷, 전기절연재료, 전해포</t>
        </is>
      </c>
      <c r="G352" s="90" t="n">
        <v>89.59999999999999</v>
      </c>
      <c r="H352" s="90" t="n">
        <v>0</v>
      </c>
      <c r="I352" s="90" t="n">
        <v>12.1</v>
      </c>
    </row>
    <row r="353" ht="17.25" customHeight="1" s="66">
      <c r="A353" s="65" t="inlineStr">
        <is>
          <t>269907</t>
        </is>
      </c>
      <c r="B353" s="68" t="inlineStr">
        <is>
          <t>제조업</t>
        </is>
      </c>
      <c r="C353" s="68" t="inlineStr">
        <is>
          <t>비금속 광물제품 제조업</t>
        </is>
      </c>
      <c r="D353" s="68" t="inlineStr">
        <is>
          <t>그 외 기타 비금속 광물제품 제조업</t>
        </is>
      </c>
      <c r="E353" s="68" t="inlineStr">
        <is>
          <t>연마재 제조업</t>
        </is>
      </c>
      <c r="F353" s="68" t="inlineStr">
        <is>
          <t>◦연마지
&lt;예 시&gt;
·연마지 및 포, 연마사</t>
        </is>
      </c>
      <c r="G353" s="90" t="n">
        <v>92.3</v>
      </c>
      <c r="H353" s="90" t="n">
        <v>0</v>
      </c>
      <c r="I353" s="90" t="n">
        <v>14.2</v>
      </c>
    </row>
    <row r="354" ht="17.25" customHeight="1" s="66">
      <c r="A354" s="65" t="inlineStr">
        <is>
          <t>269908</t>
        </is>
      </c>
      <c r="B354" s="68" t="inlineStr">
        <is>
          <t>제조업</t>
        </is>
      </c>
      <c r="C354" s="68" t="inlineStr">
        <is>
          <t>비금속 광물제품 제조업</t>
        </is>
      </c>
      <c r="D354" s="68" t="inlineStr">
        <is>
          <t>그 외 기타 비금속 광물제품 제조업</t>
        </is>
      </c>
      <c r="E354" s="68" t="inlineStr">
        <is>
          <t>그 외 기타 분류 안된 비금속 광물제품 제조업</t>
        </is>
      </c>
      <c r="F354" s="68" t="inlineStr">
        <is>
          <t>◦인공 경량 골재, 아스팔트 성형제품, 인조 커런덤(강옥), 가공 운모 및 운모제품, 현무암을 용해하여 성형한 제품 등 기타 비금속 광물제품을 제조하는 산업활동을 말한다. 인조 흑연, 콜로이드 흑연을 제조하거나 반제품 상태 및 기타 비전기용 흑연 또는 탄소제품을 제조하는 산업활동을 포함한다.
&lt;예 시&gt;
·건설용 아스팔트 성형제품 제조
·지붕용 아스팔트 성형제품 제조
·아스팔트 바닥 타일 제조
·인조 커런덤(강옥)제조
·현무암 용해 성형제품 제조
·인공 경량 골재 제조
·흙벽돌 및 블록 제조(굽지 않은)
·콜로이드 흑연 제조
·흑연 조제품 제조(비전기용)
·탄소물 조제품 제조(비전기용)
&lt;제 외&gt;
·전기용 탄소 또는 흑연제품 제조(319004)
·흑연도자기 제조(269200,269201)
·역청물 도포지 제조(210102)
·타르물 도포 목재 생산(201002)
·탄소섬유 제조(269905)
*석면제품 제조(→269906)</t>
        </is>
      </c>
      <c r="G354" s="90" t="n">
        <v>92.3</v>
      </c>
      <c r="H354" s="90" t="n">
        <v>0</v>
      </c>
      <c r="I354" s="90" t="n">
        <v>14.2</v>
      </c>
    </row>
    <row r="355" ht="17.25" customHeight="1" s="66">
      <c r="A355" s="65" t="inlineStr">
        <is>
          <t>271101</t>
        </is>
      </c>
      <c r="B355" s="68" t="inlineStr">
        <is>
          <t>제조업</t>
        </is>
      </c>
      <c r="C355" s="68" t="inlineStr">
        <is>
          <t>1차 금속 제조업</t>
        </is>
      </c>
      <c r="D355" s="68" t="inlineStr">
        <is>
          <t>제철, 제강 및 합금철 제조업</t>
        </is>
      </c>
      <c r="E355" s="68" t="inlineStr">
        <is>
          <t>제철업</t>
        </is>
      </c>
      <c r="F355" s="68" t="inlineStr">
        <is>
          <t>◦철광석, 코크스 원료탄 등으로 선철, 주철, 경철 등의 철을 생산하는 산업활동을 말한다. 제철활동과 결합되어 운영되는 합금철, 제강, 압연활동을 별도로 파악할 수 없을 경우에는 여기에 포함한다.
&lt;예 시&gt;
·선철, 주철과 경철 제조</t>
        </is>
      </c>
      <c r="G355" s="90" t="n">
        <v>92.40000000000001</v>
      </c>
      <c r="H355" s="90" t="n">
        <v>0</v>
      </c>
      <c r="I355" s="90" t="n">
        <v>13.3</v>
      </c>
    </row>
    <row r="356" ht="17.25" customHeight="1" s="66">
      <c r="A356" s="65" t="inlineStr">
        <is>
          <t>271102</t>
        </is>
      </c>
      <c r="B356" s="68" t="inlineStr">
        <is>
          <t>제조업</t>
        </is>
      </c>
      <c r="C356" s="68" t="inlineStr">
        <is>
          <t>1차 금속 제조업</t>
        </is>
      </c>
      <c r="D356" s="68" t="inlineStr">
        <is>
          <t>제철, 제강 및 합금철 제조업</t>
        </is>
      </c>
      <c r="E356" s="68" t="inlineStr">
        <is>
          <t>제강업</t>
        </is>
      </c>
      <c r="F356" s="68" t="inlineStr">
        <is>
          <t>◦선철, 고철을 처리하여 강괴, 퍼들바(puddle bar), 파일링(piling), 슬래브, 블룸, 빌릿 등과 같은 1차 형재 또는 반제품 상태의 철강 재료를 제조하는 산업활동을 말한다.
&lt;예 시&gt;
·강 1차 형재 제조
·강 반제품 제조
&lt;제 외&gt;
·순철, 해면철, 철강 분말 제조(271104)</t>
        </is>
      </c>
      <c r="G356" s="90" t="n">
        <v>88.8</v>
      </c>
      <c r="H356" s="90" t="n">
        <v>0</v>
      </c>
      <c r="I356" s="90" t="n">
        <v>16.2</v>
      </c>
    </row>
    <row r="357" ht="17.25" customHeight="1" s="66">
      <c r="A357" s="65" t="inlineStr">
        <is>
          <t>271103</t>
        </is>
      </c>
      <c r="B357" s="68" t="inlineStr">
        <is>
          <t>제조업</t>
        </is>
      </c>
      <c r="C357" s="68" t="inlineStr">
        <is>
          <t>1차 금속 제조업</t>
        </is>
      </c>
      <c r="D357" s="68" t="inlineStr">
        <is>
          <t>제철, 제강 및 합금철 제조업</t>
        </is>
      </c>
      <c r="E357" s="68" t="inlineStr">
        <is>
          <t>합금철 제조업</t>
        </is>
      </c>
      <c r="F357" s="68" t="inlineStr">
        <is>
          <t>◦합금철을 제조하는 산업활동을 말한다.
&lt;예 시&gt;
·망가니즈 합금철(망가니즈철) 제조
·텅스텐 합금철 제조
·크롬 합금철 제조
·니켈 합금철 제조          
·실리콘 합금철 제조
·바나듐 합금철 제조         
·바이메탈용 합금철 제조</t>
        </is>
      </c>
      <c r="G357" s="90" t="n">
        <v>88.8</v>
      </c>
      <c r="H357" s="90" t="n">
        <v>0</v>
      </c>
      <c r="I357" s="90" t="n">
        <v>16.2</v>
      </c>
    </row>
    <row r="358" ht="17.25" customHeight="1" s="66">
      <c r="A358" s="65" t="inlineStr">
        <is>
          <t>271104</t>
        </is>
      </c>
      <c r="B358" s="68" t="inlineStr">
        <is>
          <t>제조업</t>
        </is>
      </c>
      <c r="C358" s="68" t="inlineStr">
        <is>
          <t>1차 금속 제조업</t>
        </is>
      </c>
      <c r="D358" s="68" t="inlineStr">
        <is>
          <t>제철, 제강 및 합금철 제조업</t>
        </is>
      </c>
      <c r="E358" s="68" t="inlineStr">
        <is>
          <t>기타 제철 및 제강업</t>
        </is>
      </c>
      <c r="F358" s="68" t="inlineStr">
        <is>
          <t>◦순철, 분말야금용 철강 분말 등을 제조하는 산업활동을 말한다.
&lt;예 시&gt;
·해면철 제조
·철강 분말 제조
·분말야금용 등 철강 분말 제조</t>
        </is>
      </c>
      <c r="G358" s="90" t="n">
        <v>88.8</v>
      </c>
      <c r="H358" s="90" t="n">
        <v>0</v>
      </c>
      <c r="I358" s="90" t="n">
        <v>16.2</v>
      </c>
    </row>
    <row r="359" ht="17.25" customHeight="1" s="66">
      <c r="A359" s="65" t="inlineStr">
        <is>
          <t>271201</t>
        </is>
      </c>
      <c r="B359" s="68" t="inlineStr">
        <is>
          <t>제조업</t>
        </is>
      </c>
      <c r="C359" s="68" t="inlineStr">
        <is>
          <t>1차 금속 제조업</t>
        </is>
      </c>
      <c r="D359" s="68" t="inlineStr">
        <is>
          <t>기타 1차 철강 제조업</t>
        </is>
      </c>
      <c r="E359" s="68" t="inlineStr">
        <is>
          <t>그 외 기타 1차 철강 제조업</t>
        </is>
      </c>
      <c r="F359" s="68" t="inlineStr">
        <is>
          <t>◦열간 또는 냉간제품을 제외한 기타 형강, 단공 강재, 용접 형강 등을 제조하는 산업활동을 말한다.
&lt;예 시&gt;
·단공 강재 제조
·용접 형강 제조
&lt;제 외&gt;
·단조 금속제품 제조(289102)
*특정형의 1차 또는 중간재 상태의 철강재 제조(→271902)</t>
        </is>
      </c>
      <c r="G359" s="90" t="n">
        <v>91.59999999999999</v>
      </c>
      <c r="H359" s="90" t="n">
        <v>0</v>
      </c>
      <c r="I359" s="90" t="n">
        <v>10.1</v>
      </c>
    </row>
    <row r="360" ht="17.25" customHeight="1" s="66">
      <c r="A360" s="65" t="inlineStr">
        <is>
          <t>271202</t>
        </is>
      </c>
      <c r="B360" s="68" t="inlineStr">
        <is>
          <t>제조업</t>
        </is>
      </c>
      <c r="C360" s="68" t="inlineStr">
        <is>
          <t>1차 금속 제조업</t>
        </is>
      </c>
      <c r="D360" s="68" t="inlineStr">
        <is>
          <t>철강관 제조업</t>
        </is>
      </c>
      <c r="E360" s="68" t="inlineStr">
        <is>
          <t>주철관 제조업</t>
        </is>
      </c>
      <c r="F360" s="68" t="inlineStr">
        <is>
          <t>◦주형, 주조 또는 원심 분리 등의 방법에 의하여 주철관, 중공 파일 및 관련 연결구류를 제조하는 산업활동을 말한다.
&lt;예 시&gt;
·주철 중공 프로파일 제조
·주철관 연결구류 제조</t>
        </is>
      </c>
      <c r="G360" s="90" t="n">
        <v>91</v>
      </c>
      <c r="H360" s="90" t="n">
        <v>0</v>
      </c>
      <c r="I360" s="90" t="n">
        <v>15.1</v>
      </c>
    </row>
    <row r="361" ht="17.25" customHeight="1" s="66">
      <c r="A361" s="65" t="inlineStr">
        <is>
          <t>271204</t>
        </is>
      </c>
      <c r="B361" s="68" t="inlineStr">
        <is>
          <t>제조업</t>
        </is>
      </c>
      <c r="C361" s="68" t="inlineStr">
        <is>
          <t>1차 금속 제조업</t>
        </is>
      </c>
      <c r="D361" s="68" t="inlineStr">
        <is>
          <t>철강 압연, 압출 및 연신제품 제조업</t>
        </is>
      </c>
      <c r="E361" s="68" t="inlineStr">
        <is>
          <t>열간 압연 및 압출제품 제조업</t>
        </is>
      </c>
      <c r="F361" s="68" t="inlineStr">
        <is>
          <t>◦철강재를 열간 압연◦압출 및 인발하여 판, 로드(rod), 바(bar), 형강, 궤조, 선재 등 1차 형태의 압연 강재(철강선 및 강관 제외)를 생산하는 산업 활동을 말한다.
&lt;예 시&gt;
·철강 열간 압연 제품 제조
·열간 스테인레스강 평판 제조
·열간 합금강 평판 제조
·열간 철강 봉 제조
·열간 철강 형강 제조
·열간 압연, 압출 및 인발 철강 제조
&lt;제 외&gt;
·철강선 제조(271206)</t>
        </is>
      </c>
      <c r="G361" s="90" t="n">
        <v>91.59999999999999</v>
      </c>
      <c r="H361" s="90" t="n">
        <v>0</v>
      </c>
      <c r="I361" s="90" t="n">
        <v>11.2</v>
      </c>
    </row>
    <row r="362" ht="17.25" customHeight="1" s="66">
      <c r="A362" s="65" t="inlineStr">
        <is>
          <t>271205</t>
        </is>
      </c>
      <c r="B362" s="68" t="inlineStr">
        <is>
          <t>제조업</t>
        </is>
      </c>
      <c r="C362" s="68" t="inlineStr">
        <is>
          <t>1차 금속 제조업</t>
        </is>
      </c>
      <c r="D362" s="68" t="inlineStr">
        <is>
          <t>철강 압연, 압출 및 연신제품 제조업</t>
        </is>
      </c>
      <c r="E362" s="68" t="inlineStr">
        <is>
          <t>냉간 압연 및 압출 제품 제조업</t>
        </is>
      </c>
      <c r="F362" s="68" t="inlineStr">
        <is>
          <t>◦열간 압연 강재를 냉간 압연◦압출 및 인발하여 1차 형태의 냉간 압연 강재를 생산하는 산업활동을 말한다.
&lt;예 시&gt;
·냉간 압연, 압출 및 인발제품 제조
·냉간 철강 판, 시트, 봉 및 형재 제조
&lt;제 외&gt;
·철강선 제조(271206)</t>
        </is>
      </c>
      <c r="G362" s="90" t="n">
        <v>91.59999999999999</v>
      </c>
      <c r="H362" s="90" t="n">
        <v>0</v>
      </c>
      <c r="I362" s="90" t="n">
        <v>11.2</v>
      </c>
    </row>
    <row r="363" ht="17.25" customHeight="1" s="66">
      <c r="A363" s="65" t="inlineStr">
        <is>
          <t>271206</t>
        </is>
      </c>
      <c r="B363" s="68" t="inlineStr">
        <is>
          <t>제조업</t>
        </is>
      </c>
      <c r="C363" s="68" t="inlineStr">
        <is>
          <t>1차 금속 제조업</t>
        </is>
      </c>
      <c r="D363" s="68" t="inlineStr">
        <is>
          <t>철강 압연, 압출 및 연신제품 제조업</t>
        </is>
      </c>
      <c r="E363" s="68" t="inlineStr">
        <is>
          <t>철강선 제조업</t>
        </is>
      </c>
      <c r="F363" s="68" t="inlineStr">
        <is>
          <t>◦선재, 봉, 바 등의 1차 강재를 연신하여 철강선을 제조하는 산업활동을 말한다.
&lt;예 시&gt;
·철 및 비합금강 선 제조
·스테인레스강 선 제조
·합금강 선 제조
·철강선 제조
&lt;제 외&gt;
·비절연 철선제품 및 철강선 가공품 제조(289901)</t>
        </is>
      </c>
      <c r="G363" s="90" t="n">
        <v>91.59999999999999</v>
      </c>
      <c r="H363" s="90" t="n">
        <v>0</v>
      </c>
      <c r="I363" s="90" t="n">
        <v>11.2</v>
      </c>
    </row>
    <row r="364" ht="17.25" customHeight="1" s="66">
      <c r="A364" s="65" t="inlineStr">
        <is>
          <t>271207</t>
        </is>
      </c>
      <c r="B364" s="68" t="inlineStr">
        <is>
          <t>제조업</t>
        </is>
      </c>
      <c r="C364" s="68" t="inlineStr">
        <is>
          <t>1차 금속 제조업</t>
        </is>
      </c>
      <c r="D364" s="68" t="inlineStr">
        <is>
          <t>철강관 제조업</t>
        </is>
      </c>
      <c r="E364" s="68" t="inlineStr">
        <is>
          <t>강관 제조업</t>
        </is>
      </c>
      <c r="F364" s="68" t="inlineStr">
        <is>
          <t>◦강재를 단조, 인발, 압출, 용접 및 기타 가공하여 무계목 강관, 단접 강관, 용접 강관, 튜브 등을 제조하는 산업활동을 말한다.
&lt;예 시&gt;
·단접 철강관 제조
·압출 철강관 제조
·강관 제조
·철강 튜브 제조
&lt;제 외&gt;
·주철관 제조(271202)</t>
        </is>
      </c>
      <c r="G364" s="90" t="n">
        <v>91.59999999999999</v>
      </c>
      <c r="H364" s="90" t="n">
        <v>0</v>
      </c>
      <c r="I364" s="90" t="n">
        <v>11.2</v>
      </c>
    </row>
    <row r="365" ht="17.25" customHeight="1" s="66">
      <c r="A365" s="65" t="inlineStr">
        <is>
          <t>271208</t>
        </is>
      </c>
      <c r="B365" s="68" t="inlineStr">
        <is>
          <t>제조업</t>
        </is>
      </c>
      <c r="C365" s="68" t="inlineStr">
        <is>
          <t>1차 금속 제조업</t>
        </is>
      </c>
      <c r="D365" s="68" t="inlineStr">
        <is>
          <t>철강관 제조업</t>
        </is>
      </c>
      <c r="E365" s="68" t="inlineStr">
        <is>
          <t>강관 가공품 및 관 연결구류 제조업</t>
        </is>
      </c>
      <c r="F365" s="68" t="inlineStr">
        <is>
          <t>◦구입한 강관을 절단, 절곡, 나사골 내기 등으로 가공하여 강관 연결구류를 제조하거나 인발 강관 또는 중고 강관을 재생 인발한 강관을 제조하는 산업활동을 말한다.
&lt;예 시&gt;
·철강관 연결구류 제조
·중고 철강관 재생 인발제품 제조
&lt;제 외&gt;
·주철제 연결구류 제조(271202)</t>
        </is>
      </c>
      <c r="G365" s="90" t="n">
        <v>91</v>
      </c>
      <c r="H365" s="90" t="n">
        <v>0</v>
      </c>
      <c r="I365" s="90" t="n">
        <v>15.1</v>
      </c>
    </row>
    <row r="366" ht="17.25" customHeight="1" s="66">
      <c r="A366" s="65" t="inlineStr">
        <is>
          <t>271901</t>
        </is>
      </c>
      <c r="B366" s="68" t="inlineStr">
        <is>
          <t>제조업</t>
        </is>
      </c>
      <c r="C366" s="68" t="inlineStr">
        <is>
          <t>1차 금속 제조업</t>
        </is>
      </c>
      <c r="D366" s="68" t="inlineStr">
        <is>
          <t>기타 1차 철강 제조업</t>
        </is>
      </c>
      <c r="E366" s="68" t="inlineStr">
        <is>
          <t>도금, 착색 및 기타 표면 처리 강재 제조업</t>
        </is>
      </c>
      <c r="F366" s="68" t="inlineStr">
        <is>
          <t>◦구입한 철강재를 도금, 착색 및 기타 표면 처리하여 특정형의 1차 또는 중간재 상태의 철강재를 제조하는 산업활동을 말한다. 철강재 성형가공 과정에 결합되어 표면 가공활동을 수행할 경우에는 그 성형가공 활동에 따라 분류한다.
&lt;예 시&gt;
·열처리 강재 생산
·주름처리 강재 생산
·도금, 도장 및 피복 철강재 제조
·함석(아연도 강관)
&lt;제 외&gt;
·단조 금속제품 제조(289102)
·수수료 또는 계약에 의한 금속 가공제품 표면처리 활동(289208)</t>
        </is>
      </c>
      <c r="G366" s="90" t="n">
        <v>89</v>
      </c>
      <c r="H366" s="90" t="n">
        <v>0</v>
      </c>
      <c r="I366" s="90" t="n">
        <v>10.6</v>
      </c>
    </row>
    <row r="367" ht="17.25" customHeight="1" s="66">
      <c r="A367" s="65" t="inlineStr">
        <is>
          <t>271902</t>
        </is>
      </c>
      <c r="B367" s="68" t="inlineStr">
        <is>
          <t>제조업</t>
        </is>
      </c>
      <c r="C367" s="68" t="inlineStr">
        <is>
          <t>1차 금속 제조업</t>
        </is>
      </c>
      <c r="D367" s="68" t="inlineStr">
        <is>
          <t>기타 1차 철강 제조업</t>
        </is>
      </c>
      <c r="E367" s="68" t="inlineStr">
        <is>
          <t>그 외 기타 1차 철강 제조업</t>
        </is>
      </c>
      <c r="F367" s="68" t="inlineStr">
        <is>
          <t xml:space="preserve">◦구입한 철강재를 절단하여 특정형의 1차 또는 중간재 상태의 철강재를 제조하는 산업활동을 말한다.
&lt;예 시&gt;
·절단가공 철강재 생산
·절단 철강 판재 생산
&lt;제 외&gt;
·철강재를 고객이 원하는 형태로 절단하는 경우(해당 산업활동으로 분류)
* 기타 형강, 단공 강재, 용접 형강 제조(→271201) </t>
        </is>
      </c>
      <c r="G367" s="90" t="n">
        <v>88.2</v>
      </c>
      <c r="H367" s="90" t="n">
        <v>0</v>
      </c>
      <c r="I367" s="90" t="n">
        <v>10</v>
      </c>
    </row>
    <row r="368" ht="17.25" customHeight="1" s="66">
      <c r="A368" s="65" t="inlineStr">
        <is>
          <t>272100</t>
        </is>
      </c>
      <c r="B368" s="68" t="inlineStr">
        <is>
          <t>제조업</t>
        </is>
      </c>
      <c r="C368" s="68" t="inlineStr">
        <is>
          <t>1차 금속 제조업</t>
        </is>
      </c>
      <c r="D368" s="68" t="inlineStr">
        <is>
          <t>비철금속 제련, 정련 및 합금 제조업</t>
        </is>
      </c>
      <c r="E368" s="68" t="inlineStr">
        <is>
          <t>기타 비철금속 제련, 정련 및 합금 제조업</t>
        </is>
      </c>
      <c r="F368" s="68" t="inlineStr">
        <is>
          <t>◦금, 은, 백금 등의 귀금속, 주석, 니켈, 안티몬, 수은, 망가니즈, 크롬, 텅스텐, 몰리브덴, 마그네사이트, 지르코늄 등의 비철금속 광석 또는 괴(덩어리)등을 처리하여 제련 및 정련하는 산업활동을 말한다.
&lt;예 시&gt;
·금, 은 등의 귀금속 및 주석의 1차 제련 및 정련
·니켈, 안티모니, 수은, 망가니즈 1차 제련 및 정련
·몰리브덴, 마그네사이트 1차 제련 및 정련
·우라늄 1차 제련 및 정련
&lt;제 외&gt;
*기타 비철금속 광석의 스크랩을 처리하여 제련, 정련 및 합금 제조(→272200)</t>
        </is>
      </c>
      <c r="G368" s="90" t="n">
        <v>86.59999999999999</v>
      </c>
      <c r="H368" s="90" t="n">
        <v>0</v>
      </c>
      <c r="I368" s="90" t="n">
        <v>12.4</v>
      </c>
    </row>
    <row r="369" ht="17.25" customHeight="1" s="66">
      <c r="A369" s="65" t="inlineStr">
        <is>
          <t>272101</t>
        </is>
      </c>
      <c r="B369" s="68" t="inlineStr">
        <is>
          <t>제조업</t>
        </is>
      </c>
      <c r="C369" s="68" t="inlineStr">
        <is>
          <t>1차 금속 제조업</t>
        </is>
      </c>
      <c r="D369" s="68" t="inlineStr">
        <is>
          <t>비철금속 제련, 정련 및 합금 제조업</t>
        </is>
      </c>
      <c r="E369" s="68" t="inlineStr">
        <is>
          <t>동 제련, 정련 및 합금 제조업</t>
        </is>
      </c>
      <c r="F369" s="68" t="inlineStr">
        <is>
          <t>◦동 광석 또는 괴(덩어리) 등을 제련, 정련 하는 산업활동을 말한다.
&lt;예 시&gt;
·동 1차 제련
·동 1차 정련
&lt;제 외&gt;
*동의 스크랩 등을 제련, 정련 및 재생, 동합금 제조(→272201)</t>
        </is>
      </c>
      <c r="G369" s="90" t="n">
        <v>86.59999999999999</v>
      </c>
      <c r="H369" s="90" t="n">
        <v>0</v>
      </c>
      <c r="I369" s="90" t="n">
        <v>12.4</v>
      </c>
    </row>
    <row r="370" ht="17.25" customHeight="1" s="66">
      <c r="A370" s="65" t="inlineStr">
        <is>
          <t>272102</t>
        </is>
      </c>
      <c r="B370" s="68" t="inlineStr">
        <is>
          <t>제조업</t>
        </is>
      </c>
      <c r="C370" s="68" t="inlineStr">
        <is>
          <t>1차 금속 제조업</t>
        </is>
      </c>
      <c r="D370" s="68" t="inlineStr">
        <is>
          <t>비철금속 제련, 정련 및 합금 제조업</t>
        </is>
      </c>
      <c r="E370" s="68" t="inlineStr">
        <is>
          <t>알루미늄 제련, 정련 및 합금 제조업</t>
        </is>
      </c>
      <c r="F370" s="68" t="inlineStr">
        <is>
          <t>◦알루미늄 원광(보크사이트), 알루미나 또는 괴(덩어리)등을 제련, 정련 하는 산업활동을 말한다. 알루미늄 원광을 처리하여 알루미나를 생산하는 산업활동도 포함한다.
&lt;예 시&gt;
·알루미늄 1차 제련
·알루미늄 1차 정련
·알루미늄 원광을 제련한 알루미나 (산화알루미늄) 제조
&lt;제 외&gt;
*알루미늄의 스크랩 등을 제련, 정련 및 재생, 합금 제조(→272202)</t>
        </is>
      </c>
      <c r="G370" s="90" t="n">
        <v>86.59999999999999</v>
      </c>
      <c r="H370" s="90" t="n">
        <v>0</v>
      </c>
      <c r="I370" s="90" t="n">
        <v>12.4</v>
      </c>
    </row>
    <row r="371" ht="17.25" customHeight="1" s="66">
      <c r="A371" s="65" t="inlineStr">
        <is>
          <t>272103</t>
        </is>
      </c>
      <c r="B371" s="68" t="inlineStr">
        <is>
          <t>제조업</t>
        </is>
      </c>
      <c r="C371" s="68" t="inlineStr">
        <is>
          <t>1차 금속 제조업</t>
        </is>
      </c>
      <c r="D371" s="68" t="inlineStr">
        <is>
          <t>비철금속 제련, 정련 및 합금 제조업</t>
        </is>
      </c>
      <c r="E371" s="68" t="inlineStr">
        <is>
          <t>연 및 아연 제련, 정련 및 합금 제조업</t>
        </is>
      </c>
      <c r="F371" s="68" t="inlineStr">
        <is>
          <t>◦연(납) 및 아연 광석 또는 괴(덩어리) 등을 제련◦정련 하는 산업활동을 말한다.
&lt;예 시&gt;
·납(연) 제 1차 제련 및 정련
·아연 제 1차 제련 및 정련
&lt;제 외&gt;
*연(납) 및 아연 등의 스크랩을 제련◦정련 및 재생, 합금 제조(→272203)</t>
        </is>
      </c>
      <c r="G371" s="90" t="n">
        <v>86.59999999999999</v>
      </c>
      <c r="H371" s="90" t="n">
        <v>0</v>
      </c>
      <c r="I371" s="90" t="n">
        <v>12.4</v>
      </c>
    </row>
    <row r="372" ht="17.25" customHeight="1" s="66">
      <c r="A372" s="65" t="inlineStr">
        <is>
          <t>272200</t>
        </is>
      </c>
      <c r="B372" s="68" t="inlineStr">
        <is>
          <t>제조업</t>
        </is>
      </c>
      <c r="C372" s="68" t="inlineStr">
        <is>
          <t>1차 금속 제조업</t>
        </is>
      </c>
      <c r="D372" s="68" t="inlineStr">
        <is>
          <t>비철금속 제련, 정련 및 합금 제조업</t>
        </is>
      </c>
      <c r="E372" s="68" t="inlineStr">
        <is>
          <t>기타 비철금속 제련, 정련 및 합금 제조업</t>
        </is>
      </c>
      <c r="F372" s="68" t="inlineStr">
        <is>
          <t>◦금, 은, 백금 등의 귀금속, 주석, 니켈, 안티몬, 수은, 망가니즈, 크롬, 텅스텐, 몰리브덴, 마그네사이트, 지르코늄 등의 비철금속 광석의 스크랩을 처리하여 제련 및 정련하거나 이들의 합금을 제조하는 산업활동을 말한다.
&lt;예 시&gt;
·금, 은 등의 귀금속 및 주석의 2차 제련 및 정련, 합금 제조
·니켈, 안티모니, 수은, 망가니즈 2차 제련 및 정련, 합금 제조
·몰리브덴, 마그네사이트 2차 제련 및 정련, 합금 제조
·우라늄 2차 제련 및 정련, 합금 제조
&lt;제 외&gt;
*기타 비철금속 광석 또는 괴(덩어리)등을 처리하여 제련 및 정련(→272100)</t>
        </is>
      </c>
      <c r="G372" s="90" t="n">
        <v>87.3</v>
      </c>
      <c r="H372" s="90" t="n">
        <v>0</v>
      </c>
      <c r="I372" s="90" t="n">
        <v>12.8</v>
      </c>
    </row>
    <row r="373" ht="17.25" customHeight="1" s="66">
      <c r="A373" s="65" t="inlineStr">
        <is>
          <t>272201</t>
        </is>
      </c>
      <c r="B373" s="68" t="inlineStr">
        <is>
          <t>제조업</t>
        </is>
      </c>
      <c r="C373" s="68" t="inlineStr">
        <is>
          <t>1차 금속 제조업</t>
        </is>
      </c>
      <c r="D373" s="68" t="inlineStr">
        <is>
          <t>비철금속 제련, 정련 및 합금 제조업</t>
        </is>
      </c>
      <c r="E373" s="68" t="inlineStr">
        <is>
          <t>동 제련, 정련 및 합금 제조업</t>
        </is>
      </c>
      <c r="F373" s="68" t="inlineStr">
        <is>
          <t>◦동의 스크랩 등을 제련, 정련 및 재생하는 산업활동을 말한다. 동합금 제조활동도 포함한다.
&lt;예 시&gt; 
·동 2차 제련
·동 2차 정련
·동합금 제조
&lt;제 외&gt;
*동 광석 또는 괴(덩어리) 등 제련, 정련(→272101)</t>
        </is>
      </c>
      <c r="G373" s="90" t="n">
        <v>87.3</v>
      </c>
      <c r="H373" s="90" t="n">
        <v>0</v>
      </c>
      <c r="I373" s="90" t="n">
        <v>12.8</v>
      </c>
    </row>
    <row r="374" ht="17.25" customHeight="1" s="66">
      <c r="A374" s="65" t="inlineStr">
        <is>
          <t>272202</t>
        </is>
      </c>
      <c r="B374" s="68" t="inlineStr">
        <is>
          <t>제조업</t>
        </is>
      </c>
      <c r="C374" s="68" t="inlineStr">
        <is>
          <t>1차 금속 제조업</t>
        </is>
      </c>
      <c r="D374" s="68" t="inlineStr">
        <is>
          <t>비철금속 제련, 정련 및 합금 제조업</t>
        </is>
      </c>
      <c r="E374" s="68" t="inlineStr">
        <is>
          <t>알루미늄 제련, 정련 및 합금 제조업</t>
        </is>
      </c>
      <c r="F374" s="68" t="inlineStr">
        <is>
          <t>◦알루미늄의 스크랩 등을 제련, 정련 및 재생하는 산업활동을 말한다. 알루미늄 합금을 제조하는 산업활동도 포함한다.
&lt;예 시&gt;
·알루미늄 2차 제련
·알루미늄 2차 정련
·알루미늄 재생
·알루미늄 합금 제조
&lt;제 외&gt;
·인조커런덤(강옥) 제조(269908)
*알루미늄 원광(보크사이트), 알루미나 또는 괴(덩어리)등 제련, 정련(→272102)</t>
        </is>
      </c>
      <c r="G374" s="90" t="n">
        <v>87.3</v>
      </c>
      <c r="H374" s="90" t="n">
        <v>0</v>
      </c>
      <c r="I374" s="90" t="n">
        <v>12.8</v>
      </c>
    </row>
    <row r="375" ht="17.25" customHeight="1" s="66">
      <c r="A375" s="65" t="inlineStr">
        <is>
          <t>272203</t>
        </is>
      </c>
      <c r="B375" s="68" t="inlineStr">
        <is>
          <t>제조업</t>
        </is>
      </c>
      <c r="C375" s="68" t="inlineStr">
        <is>
          <t>1차 금속 제조업</t>
        </is>
      </c>
      <c r="D375" s="68" t="inlineStr">
        <is>
          <t>비철금속 제련, 정련 및 합금 제조업</t>
        </is>
      </c>
      <c r="E375" s="68" t="inlineStr">
        <is>
          <t>연 및 아연 제련, 정련 및 합금 제조업</t>
        </is>
      </c>
      <c r="F375" s="68" t="inlineStr">
        <is>
          <t>◦연(납) 및 아연 등의 스크랩을 제련◦정련 및 재생하는 산업활동을 말한다. 이들의 합금을 제조하는 경우도 포함한다.
&lt;예 시&gt;  
·납(연) 제 2차 제련 및 정련
·아연 제 2차 제련 및 정련
·미가공연합금
·아연합금, 아연분
&lt;제 외&gt;
*연(납) 및 아연 광석 또는 괴(덩어리) 등 제련◦정련(→272103)</t>
        </is>
      </c>
      <c r="G375" s="90" t="n">
        <v>87.3</v>
      </c>
      <c r="H375" s="90" t="n">
        <v>0</v>
      </c>
      <c r="I375" s="90" t="n">
        <v>12.8</v>
      </c>
    </row>
    <row r="376" ht="17.25" customHeight="1" s="66">
      <c r="A376" s="65" t="inlineStr">
        <is>
          <t>272300</t>
        </is>
      </c>
      <c r="B376" s="68" t="inlineStr">
        <is>
          <t>제조업</t>
        </is>
      </c>
      <c r="C376" s="68" t="inlineStr">
        <is>
          <t>1차 금속 제조업</t>
        </is>
      </c>
      <c r="D376" s="68" t="inlineStr">
        <is>
          <t>비철금속 압연, 압출 및 연신제품 제조업</t>
        </is>
      </c>
      <c r="E376" s="68" t="inlineStr">
        <is>
          <t>알루미늄 압연, 압출 및 연신제품 제조업</t>
        </is>
      </c>
      <c r="F376" s="68" t="inlineStr">
        <is>
          <t>◦알루미늄재를 압연, 압출, 인발 및 기타 가공하여 1차 형태의 알루미늄제품을 생산하는 산업활동을 말한다.
&lt;예 시&gt;
·알루미늄 및 알루미늄 합금 반제품 제조
·알루미늄 박판, 시트, 판, 대, 선, 봉, 바 및 관 제조
·관, 로드, 바, 프로파일 및 기타 형의 알루미늄 제조
·알루미늄케이블, 로프 및 유사제품</t>
        </is>
      </c>
      <c r="G376" s="90" t="n">
        <v>89.40000000000001</v>
      </c>
      <c r="H376" s="90" t="n">
        <v>0</v>
      </c>
      <c r="I376" s="90" t="n">
        <v>5.4</v>
      </c>
    </row>
    <row r="377" ht="17.25" customHeight="1" s="66">
      <c r="A377" s="65" t="inlineStr">
        <is>
          <t>272301</t>
        </is>
      </c>
      <c r="B377" s="68" t="inlineStr">
        <is>
          <t>제조업</t>
        </is>
      </c>
      <c r="C377" s="68" t="inlineStr">
        <is>
          <t>1차 금속 제조업</t>
        </is>
      </c>
      <c r="D377" s="68" t="inlineStr">
        <is>
          <t>비철금속 압연, 압출 및 연신제품 제조업</t>
        </is>
      </c>
      <c r="E377" s="68" t="inlineStr">
        <is>
          <t>동 압연, 압출 및 연신제품 제조업</t>
        </is>
      </c>
      <c r="F377" s="68" t="inlineStr">
        <is>
          <t>◦동재를 압연◦압출◦인발 및 기타 가공하여 1차 형태의 동제품을 생산하는 산업활동을 말한다.
&lt;예 시&gt;
·동 합금 압연제품 및 반제품 제조
·동 박판, 시트, 판, 대, 선, 봉, 바 및 관 제조
·동케이블, 로프 및 유사제품, 동못 및 유사제품</t>
        </is>
      </c>
      <c r="G377" s="90" t="n">
        <v>89.40000000000001</v>
      </c>
      <c r="H377" s="90" t="n">
        <v>0</v>
      </c>
      <c r="I377" s="90" t="n">
        <v>8.300000000000001</v>
      </c>
    </row>
    <row r="378" ht="17.25" customHeight="1" s="66">
      <c r="A378" s="65" t="inlineStr">
        <is>
          <t>272302</t>
        </is>
      </c>
      <c r="B378" s="68" t="inlineStr">
        <is>
          <t>제조업</t>
        </is>
      </c>
      <c r="C378" s="68" t="inlineStr">
        <is>
          <t>1차 금속 제조업</t>
        </is>
      </c>
      <c r="D378" s="68" t="inlineStr">
        <is>
          <t>비철금속 압연, 압출 및 연신제품 제조업</t>
        </is>
      </c>
      <c r="E378" s="68" t="inlineStr">
        <is>
          <t>기타 비철금속 압연, 압출 및 연신제품 제조업</t>
        </is>
      </c>
      <c r="F378" s="68" t="inlineStr">
        <is>
          <t>◦금, 은, 주석, 니켈, 수은, 망가니즈, 크롬, 텅스텐, 마그네사이트 등 기타 비철금속을 압연◦압출◦인발 및 기타 가공하여 1차 형태의 비철금속 제품을 생산하는 산업활동을 말한다.
&lt;예 시&gt; 
·판, 시트, 대 및 박 제조
·관 및 관 연결구류 제조
·봉, 프로파일, 선 제조
·주석 관 및 관 연결구류 제조
·주석 판, 시트, 대 및 박 제조
·텅스텐, 몰리브덴, 탄탈룸, 지르코늄, 베릴륨, 갈륨, 하프늄, 인듐, 니오븀 및 탈륨 1차 형태 금속제품 제조
·아연 봉, 프로파일 및 선, 판, 시트, 대 및 박 제조</t>
        </is>
      </c>
      <c r="G378" s="90" t="n">
        <v>89.40000000000001</v>
      </c>
      <c r="H378" s="90" t="n">
        <v>0</v>
      </c>
      <c r="I378" s="90" t="n">
        <v>8.300000000000001</v>
      </c>
    </row>
    <row r="379" ht="17.25" customHeight="1" s="66">
      <c r="A379" s="65" t="inlineStr">
        <is>
          <t>272900</t>
        </is>
      </c>
      <c r="B379" s="68" t="inlineStr">
        <is>
          <t>제조업</t>
        </is>
      </c>
      <c r="C379" s="68" t="inlineStr">
        <is>
          <t>1차 금속 제조업</t>
        </is>
      </c>
      <c r="D379" s="68" t="inlineStr">
        <is>
          <t>기타 1차 비철금속 제조업</t>
        </is>
      </c>
      <c r="E379" s="68" t="inlineStr">
        <is>
          <t>기타 1차 비철금속 제조업</t>
        </is>
      </c>
      <c r="F379" s="68" t="inlineStr">
        <is>
          <t>◦구입한 1차 또는 반제품 상태의 비철금속재를 절단, 분쇄, 표면 처리 및 기타 가공하여 중간재 상태의 절단제품, 분말, 조각, 플레이크(flake, 얇은 조각) 및 표면 처리 강재 등을 생산하는 산업활동을 말한다.
&lt;예 시&gt;
·비철금속 피복제품 제조
·표면 처리 비철금속재 생산
·비철금속을 절단한 중간재 제조
·비철금속 분말, 조각 및 플레이크 생산
&lt;제 외&gt;
·금속 증착 필름 또는 접합지 제조는 그 주된 재료의 종류에 따라 분류(210102 또는 252403,252404)
·비철금속 스크랩을 분쇄 및 기타 가공하여 재생용 원료생산(372000)</t>
        </is>
      </c>
      <c r="G379" s="90" t="n">
        <v>88.8</v>
      </c>
      <c r="H379" s="90" t="n">
        <v>0</v>
      </c>
      <c r="I379" s="90" t="n">
        <v>13.5</v>
      </c>
    </row>
    <row r="380" ht="17.25" customHeight="1" s="66">
      <c r="A380" s="65" t="inlineStr">
        <is>
          <t>273101</t>
        </is>
      </c>
      <c r="B380" s="68" t="inlineStr">
        <is>
          <t>제조업</t>
        </is>
      </c>
      <c r="C380" s="68" t="inlineStr">
        <is>
          <t>1차 금속 제조업</t>
        </is>
      </c>
      <c r="D380" s="68" t="inlineStr">
        <is>
          <t>철강 주조업</t>
        </is>
      </c>
      <c r="E380" s="68" t="inlineStr">
        <is>
          <t>선철 주물 주조업</t>
        </is>
      </c>
      <c r="F380" s="68" t="inlineStr">
        <is>
          <t>◦선철 또는 합금철로 각종 선철(회) 주물 및 가단철 주물을 제조하는 산업활동을 말한다.
&lt;예 시&gt;
·가단철 주물 주조
·합금철 주물 주조
·정밀 선철 주물 주조
·정밀 합금철 주물 주조
&lt;제 외&gt;
·주철관 및 관 연결구류 제조(271202)</t>
        </is>
      </c>
      <c r="G380" s="90" t="n">
        <v>90.09999999999999</v>
      </c>
      <c r="H380" s="90" t="n">
        <v>0</v>
      </c>
      <c r="I380" s="90" t="n">
        <v>17.3</v>
      </c>
    </row>
    <row r="381" ht="17.25" customHeight="1" s="66">
      <c r="A381" s="65" t="inlineStr">
        <is>
          <t>273102</t>
        </is>
      </c>
      <c r="B381" s="68" t="inlineStr">
        <is>
          <t>제조업</t>
        </is>
      </c>
      <c r="C381" s="68" t="inlineStr">
        <is>
          <t>1차 금속 제조업</t>
        </is>
      </c>
      <c r="D381" s="68" t="inlineStr">
        <is>
          <t>철강 주조업</t>
        </is>
      </c>
      <c r="E381" s="68" t="inlineStr">
        <is>
          <t>강 주물 주조업</t>
        </is>
      </c>
      <c r="F381" s="68" t="inlineStr">
        <is>
          <t>◦강재 또는 합금강재로 강 주물 및 합금강 주물을 제조하는 산업활동을 말한다.
&lt;예 시&gt;
·강 주물 주조
·합금강 주물 주조
·정밀 강 주물 주조
·정밀 합금강 주물 주조
&lt;제 외&gt;
·주철관 및 관연결구류 제조(271202)
·가단 주철 주물 제조(273101)</t>
        </is>
      </c>
      <c r="G381" s="90" t="n">
        <v>88.8</v>
      </c>
      <c r="H381" s="90" t="n">
        <v>0</v>
      </c>
      <c r="I381" s="90" t="n">
        <v>15.7</v>
      </c>
    </row>
    <row r="382" ht="17.25" customHeight="1" s="66">
      <c r="A382" s="65" t="inlineStr">
        <is>
          <t>273200</t>
        </is>
      </c>
      <c r="B382" s="68" t="inlineStr">
        <is>
          <t>제조업</t>
        </is>
      </c>
      <c r="C382" s="68" t="inlineStr">
        <is>
          <t>1차 금속 제조업</t>
        </is>
      </c>
      <c r="D382" s="68" t="inlineStr">
        <is>
          <t>비철금속 주조업</t>
        </is>
      </c>
      <c r="E382" s="68" t="inlineStr">
        <is>
          <t>알루미늄 주물 주조업</t>
        </is>
      </c>
      <c r="F382" s="68" t="inlineStr">
        <is>
          <t>◦알루미늄 및 그 합금으로 알루미늄 주물을 제조하는 산업활동을 말한다.
&lt;예 시&gt;
·알루미늄 주물 주조
·알루미늄 합금 주물 주조</t>
        </is>
      </c>
      <c r="G382" s="90" t="n">
        <v>90.09999999999999</v>
      </c>
      <c r="H382" s="90" t="n">
        <v>0</v>
      </c>
      <c r="I382" s="90" t="n">
        <v>8.6</v>
      </c>
    </row>
    <row r="383" ht="17.25" customHeight="1" s="66">
      <c r="A383" s="65" t="inlineStr">
        <is>
          <t>273201</t>
        </is>
      </c>
      <c r="B383" s="68" t="inlineStr">
        <is>
          <t>제조업</t>
        </is>
      </c>
      <c r="C383" s="68" t="inlineStr">
        <is>
          <t>1차 금속 제조업</t>
        </is>
      </c>
      <c r="D383" s="68" t="inlineStr">
        <is>
          <t>비철금속 주조업</t>
        </is>
      </c>
      <c r="E383" s="68" t="inlineStr">
        <is>
          <t>기타 비철금속 주조업</t>
        </is>
      </c>
      <c r="F383" s="68" t="inlineStr">
        <is>
          <t>◦동 및 그 합금으로 동 주물을 제조하는 산업활동을 말한다.
&lt;예 시&gt;
·동 주물 주조
·동 합금 주물 주조</t>
        </is>
      </c>
      <c r="G383" s="90" t="n">
        <v>90.09999999999999</v>
      </c>
      <c r="H383" s="90" t="n">
        <v>0</v>
      </c>
      <c r="I383" s="90" t="n">
        <v>9.199999999999999</v>
      </c>
    </row>
    <row r="384" ht="17.25" customHeight="1" s="66">
      <c r="A384" s="65" t="inlineStr">
        <is>
          <t>273202</t>
        </is>
      </c>
      <c r="B384" s="68" t="inlineStr">
        <is>
          <t>제조업</t>
        </is>
      </c>
      <c r="C384" s="68" t="inlineStr">
        <is>
          <t>1차 금속 제조업</t>
        </is>
      </c>
      <c r="D384" s="68" t="inlineStr">
        <is>
          <t>비철금속 주조업</t>
        </is>
      </c>
      <c r="E384" s="68" t="inlineStr">
        <is>
          <t>기타 비철금속 주조업</t>
        </is>
      </c>
      <c r="F384" s="68" t="inlineStr">
        <is>
          <t>◦금, 은, 주석, 니켈, 수은, 망가니즈, 크롬, 텅스텐, 마그네사이트 등의 기타 비철금속 주물을 제조하는 산업활동을 말한다.
&lt;예 시&gt;
·비철금속 주조</t>
        </is>
      </c>
      <c r="G384" s="90" t="n">
        <v>90.09999999999999</v>
      </c>
      <c r="H384" s="90" t="n">
        <v>0</v>
      </c>
      <c r="I384" s="90" t="n">
        <v>9.199999999999999</v>
      </c>
    </row>
    <row r="385" ht="17.25" customHeight="1" s="66">
      <c r="A385" s="65" t="inlineStr">
        <is>
          <t>281100</t>
        </is>
      </c>
      <c r="B385" s="68" t="inlineStr">
        <is>
          <t>제조업</t>
        </is>
      </c>
      <c r="C385" s="68" t="inlineStr">
        <is>
          <t>금속 가공제품 제조업: 기계 및 가구 제외</t>
        </is>
      </c>
      <c r="D385" s="68" t="inlineStr">
        <is>
          <t>구조용 금속제품 제조업</t>
        </is>
      </c>
      <c r="E385" s="68" t="inlineStr">
        <is>
          <t>금속 문, 창, 셔터 및 관련제품 제조업</t>
        </is>
      </c>
      <c r="F385" s="68" t="inlineStr">
        <is>
          <t>◦금속제의 문 및 관련 금속제품을 제조하는 산업활동을 말한다.
&lt;예 시&gt;
·금속제 창문 제조
·철문 제조
·금속 롤링도어(rolling door, 두루마리 문) 제조
·금속 스크린도어(screen door) 제조
·금속 셔터문(shutter door) 제조
·새시문(sash door) 제조
·회전문(revolving door) 제조
·금속제 수문(철골제 제외) 제조</t>
        </is>
      </c>
      <c r="G385" s="90" t="n">
        <v>91.5</v>
      </c>
      <c r="H385" s="90" t="n">
        <v>0</v>
      </c>
      <c r="I385" s="90" t="n">
        <v>8.800000000000001</v>
      </c>
    </row>
    <row r="386" ht="17.25" customHeight="1" s="66">
      <c r="A386" s="65" t="inlineStr">
        <is>
          <t>281101</t>
        </is>
      </c>
      <c r="B386" s="68" t="inlineStr">
        <is>
          <t>제조업</t>
        </is>
      </c>
      <c r="C386" s="68" t="inlineStr">
        <is>
          <t>금속 가공제품 제조업: 기계 및 가구 제외</t>
        </is>
      </c>
      <c r="D386" s="68" t="inlineStr">
        <is>
          <t>그 외 기타 금속 가공제품 제조업</t>
        </is>
      </c>
      <c r="E386" s="68" t="inlineStr">
        <is>
          <t>그 외 기타 분류 안된 금속 가공제품 제조업</t>
        </is>
      </c>
      <c r="F386" s="68" t="inlineStr">
        <is>
          <t>◦금속 재료로 장식용 금속제품, 체인(동력전달용 제외), 선박용 프로펠러 및 그 날, 비전기식 벨, 종 및 유사제품, 바늘, 핀, 버클, 훅(hook), 관련 장치 등을 제조하는 산업활동을 말한다.
&lt;예 시&gt;
·적재용 금속판 제조
·상패, 명패, 감사패 제조
·버클 제조       
·철모 제조
·사진틀 제조
·화물용 금속 플랫폼(platform) 제조 
·이동식 사다리 제조
·금속제 침 및 바늘 제조
·금속제 트로피 제조
·범용으로 사용되는 관 리벳(속이 빈 리벳), 이고 리벳(끝이 두 가닥 이상 나뉜 리벳) 제조
·금속제 유금, 꺾쇠, 유금이 붙은 프레임 제조
·버클용 유금, 아이(eye), 아이렛(eyelet), 구슬과 스팽글 제조
·선박 추진기 및 관련 블레이드 제조 
·조립된 철도 궤도 및 철도 연결 부착물 제조
·금속제 자석 제조
·스트롱 박스 제조
·안전장치를 갖춘 금속제 수집 상자
&lt;제 외&gt;
·귀금속제 경기 또는 예술용 트로피, 메달 제조(369101)
·재봉기용 바늘 제조(292600)
·용제 피복 없는 용접봉(해당 산업활동으로 분류)
*사무실용 금속비품 제조(→289915)
*금고, 금고실 라이닝, 금고실문, 현금괴 제조(→289918)</t>
        </is>
      </c>
      <c r="G386" s="90" t="n">
        <v>91.5</v>
      </c>
      <c r="H386" s="90" t="n">
        <v>0</v>
      </c>
      <c r="I386" s="90" t="n">
        <v>9.9</v>
      </c>
    </row>
    <row r="387" ht="17.25" customHeight="1" s="66">
      <c r="A387" s="65" t="inlineStr">
        <is>
          <t>281102</t>
        </is>
      </c>
      <c r="B387" s="68" t="inlineStr">
        <is>
          <t>제조업</t>
        </is>
      </c>
      <c r="C387" s="68" t="inlineStr">
        <is>
          <t>기타 기계 및 장비 제조업</t>
        </is>
      </c>
      <c r="D387" s="68" t="inlineStr">
        <is>
          <t>펌프 및 압축기 제조업: 탭, 밸브 및 유사 장치 제조 포함</t>
        </is>
      </c>
      <c r="E387" s="68" t="inlineStr">
        <is>
          <t>탭, 밸브 및 유사 장치 제조업</t>
        </is>
      </c>
      <c r="F387" s="68" t="inlineStr">
        <is>
          <t>◦파이프, 보일러의 동체, 탱크, 통 등에 사용되어 액체 또는 기체의 흐름을 조정하는 탭, 코크, 수도꼭지, 마개, 노즐, 밸브 및 유사 장치를 제조하는 산업활동을 말한다. 감압 밸브 및 온도 제어식 밸브 제조도 포함한다.
&lt;예 시&gt;
·감압 밸브 및 온도 제어식 밸브 제조
·밸브 및 파이프가공품
·소화전, 배관용밸브, 밸브유니트
&lt;제 외&gt;
·유압(공기압) 밸브 제조(291200)
·내연기관용 밸브제조는 그 내연기관의 부품 제조와 동일하게 분류
·비경화 고무제, 유리제, 도자제의 탭, 코크, 밸브 및 유사 장치 제조는 그 재료에 따라 각각 해당되는 산업활동에 분류</t>
        </is>
      </c>
      <c r="G387" s="90" t="n">
        <v>91.5</v>
      </c>
      <c r="H387" s="90" t="n">
        <v>0</v>
      </c>
      <c r="I387" s="90" t="n">
        <v>9.4</v>
      </c>
    </row>
    <row r="388" ht="17.25" customHeight="1" s="66">
      <c r="A388" s="65" t="inlineStr">
        <is>
          <t>281103</t>
        </is>
      </c>
      <c r="B388" s="68" t="inlineStr">
        <is>
          <t>제조업</t>
        </is>
      </c>
      <c r="C388" s="68" t="inlineStr">
        <is>
          <t>금속 가공제품 제조업: 기계 및 가구 제외</t>
        </is>
      </c>
      <c r="D388" s="68" t="inlineStr">
        <is>
          <t>구조용 금속제품 제조업</t>
        </is>
      </c>
      <c r="E388" s="68" t="inlineStr">
        <is>
          <t>구조용 금속 판제품 및 공작물 제조업</t>
        </is>
      </c>
      <c r="F388" s="68" t="inlineStr">
        <is>
          <t>◦건물 및 기타 구축물에 설치 또는 부착되는 각종 구조용 금속 판제품 및 금속 공작물을 제조하는 산업활동을 말한다.
&lt;예 시&gt;
·금속 지붕 및 벽면 제조
·처마용 금속 판제품 제조
·금속 발코니 제조
·건물용 금속 계단 및 사다리 제조
·설치용 금속 울타리 제조
·금속 베란다 제조
&lt;제 외&gt;
·이동식 금속 사다리 제조(281101)
·골조 구조재 제조(281104, 281105)
·구조물용 이외 판금제품 제조(289208)</t>
        </is>
      </c>
      <c r="G388" s="90" t="n">
        <v>91.5</v>
      </c>
      <c r="H388" s="90" t="n">
        <v>0</v>
      </c>
      <c r="I388" s="90" t="n">
        <v>10.5</v>
      </c>
    </row>
    <row r="389" ht="17.25" customHeight="1" s="66">
      <c r="A389" s="65" t="inlineStr">
        <is>
          <t>281104</t>
        </is>
      </c>
      <c r="B389" s="68" t="inlineStr">
        <is>
          <t>제조업</t>
        </is>
      </c>
      <c r="C389" s="68" t="inlineStr">
        <is>
          <t>금속 가공제품 제조업: 기계 및 가구 제외</t>
        </is>
      </c>
      <c r="D389" s="68" t="inlineStr">
        <is>
          <t>구조용 금속제품 제조업</t>
        </is>
      </c>
      <c r="E389" s="68" t="inlineStr">
        <is>
          <t>육상 금속 골조 구조재 제조업</t>
        </is>
      </c>
      <c r="F389" s="68" t="inlineStr">
        <is>
          <t>◦형강, 강판, 평강 등의 금속 재료를 가공하여 건물, 교량, 철탑 및 기타 육상 구축물, 기계 및 장비류(용광로, 물품 취급 장비 등) 축조 또는 설치에 사용되는 조립용 금속 골조 구조재 및 구성 부분품을 생산하는 산업활동을 말한다.
&lt;예 시&gt;
·교량 조립 구조재 제조
·탑 조립 구조재 제조 
·철골 조립 육상 구조재 제조
·비계용 지주 및 유사기구 제조
·차단용 또는 갱도 받침용 지주 및 유사 기구 제조          
·조립식 철골제 수문 제조
&lt;제 외&gt;
·구조용 금속 판제품 및 금속 공작물 제조(281103)
·금속제 조립식 건물 및 그 구성품 제조(281106)
·선체 블록 이외의 선박용 및 수상 부유 구조물용 철골 조립제품 제조(281105)</t>
        </is>
      </c>
      <c r="G389" s="90" t="n">
        <v>91.5</v>
      </c>
      <c r="H389" s="90" t="n">
        <v>0</v>
      </c>
      <c r="I389" s="90" t="n">
        <v>10.5</v>
      </c>
    </row>
    <row r="390" ht="17.25" customHeight="1" s="66">
      <c r="A390" s="65" t="inlineStr">
        <is>
          <t>281105</t>
        </is>
      </c>
      <c r="B390" s="68" t="inlineStr">
        <is>
          <t>제조업</t>
        </is>
      </c>
      <c r="C390" s="68" t="inlineStr">
        <is>
          <t>금속 가공제품 제조업: 기계 및 가구 제외</t>
        </is>
      </c>
      <c r="D390" s="68" t="inlineStr">
        <is>
          <t>구조용 금속제품 제조업</t>
        </is>
      </c>
      <c r="E390" s="68" t="inlineStr">
        <is>
          <t>수상 금속 골조 구조재 제조업</t>
        </is>
      </c>
      <c r="F390" s="68" t="inlineStr">
        <is>
          <t>◦형강, 강판, 평강 등의 금속 재료를 가공하여 선박 및 수상 부유 구조물의 축조 또는 설치에 사용되는 조립용 금속 골조 구조재 및 구성 부분품을 생산하는 산업활동을 말한다.
&lt;예 시&gt;
·선박용 철골 조립 구조재 제조
·시추대 및 기타 수상 부유 작업대용 철골 조립 구조재
&lt;제 외&gt;
·구조용 금속 판제품 및 금속 공작물 제조(281103)
·금속제 조립식 건물 및 그 구성품 제조(281106)</t>
        </is>
      </c>
      <c r="G390" s="90" t="n">
        <v>91.5</v>
      </c>
      <c r="H390" s="90" t="n">
        <v>0</v>
      </c>
      <c r="I390" s="90" t="n">
        <v>12.3</v>
      </c>
    </row>
    <row r="391" ht="17.25" customHeight="1" s="66">
      <c r="A391" s="65" t="inlineStr">
        <is>
          <t>281106</t>
        </is>
      </c>
      <c r="B391" s="68" t="inlineStr">
        <is>
          <t>제조업</t>
        </is>
      </c>
      <c r="C391" s="68" t="inlineStr">
        <is>
          <t>금속 가공제품 제조업: 기계 및 가구 제외</t>
        </is>
      </c>
      <c r="D391" s="68" t="inlineStr">
        <is>
          <t>구조용 금속제품 제조업</t>
        </is>
      </c>
      <c r="E391" s="68" t="inlineStr">
        <is>
          <t>기타 구조용 금속제품 제조업</t>
        </is>
      </c>
      <c r="F391" s="68" t="inlineStr">
        <is>
          <t>◦달리 분류되지 않은 기타 구조용 금속제품 제조업으로서 금속 재료를 가공하여 금속제 조립식 건물 및 그 부분품 등을 제조하는 산업활동을 말한다.
&lt;예 시&gt;
·건물용 컨테이너 제조
·금속제 조립식 건물 및 그 구성품 제조
&lt;제 외&gt;
·건물 부착 설치용 계단 및 사다리 제조(281103)
·이동식 금속제 사다리 제조(281101)</t>
        </is>
      </c>
      <c r="G391" s="90" t="n">
        <v>91.5</v>
      </c>
      <c r="H391" s="90" t="n">
        <v>0</v>
      </c>
      <c r="I391" s="90" t="n">
        <v>9.4</v>
      </c>
    </row>
    <row r="392" ht="17.25" customHeight="1" s="66">
      <c r="A392" s="65" t="inlineStr">
        <is>
          <t>281201</t>
        </is>
      </c>
      <c r="B392" s="68" t="inlineStr">
        <is>
          <t>제조업</t>
        </is>
      </c>
      <c r="C392" s="68" t="inlineStr">
        <is>
          <t>금속 가공제품 제조업: 기계 및 가구 제외</t>
        </is>
      </c>
      <c r="D392" s="68" t="inlineStr">
        <is>
          <t>산업용 난방 보일러, 금속탱크 및 유사 용기 제조업</t>
        </is>
      </c>
      <c r="E392" s="68" t="inlineStr">
        <is>
          <t>산업용 난방보일러 및 방열기 제조업</t>
        </is>
      </c>
      <c r="F392" s="68" t="inlineStr">
        <is>
          <t>◦가정용 이외의 공장, 빌딩 및 산업 시설물 등의 난방용 온수보일러, 저압 증기보일러를 제조하는 산업활동을 말한다.
&lt;예 시&gt;
·중앙난방용 보일러 제조
·기타 산업시설 난방용 보일러 제조
·중앙난방용 저압 증기보일러 제조
&lt;제 외&gt;
·선박용 또는 동력용 증기발생 보일러 및 과열수 보일러 제조(281300)
·전기식 또는 비전기식 가정용 보일러 및 난방기기 제조(293005,293004)
＊중앙난방용 라디에타, 히터 제조(→281202)</t>
        </is>
      </c>
      <c r="G392" s="90" t="n">
        <v>88.40000000000001</v>
      </c>
      <c r="H392" s="90" t="n">
        <v>0</v>
      </c>
      <c r="I392" s="90" t="n">
        <v>11.4</v>
      </c>
    </row>
    <row r="393" ht="17.25" customHeight="1" s="66">
      <c r="A393" s="65" t="inlineStr">
        <is>
          <t>281202</t>
        </is>
      </c>
      <c r="B393" s="68" t="inlineStr">
        <is>
          <t>제조업</t>
        </is>
      </c>
      <c r="C393" s="68" t="inlineStr">
        <is>
          <t>금속 가공제품 제조업: 기계 및 가구 제외</t>
        </is>
      </c>
      <c r="D393" s="68" t="inlineStr">
        <is>
          <t>산업용 난방 보일러, 금속탱크 및 유사 용기 제조업</t>
        </is>
      </c>
      <c r="E393" s="68" t="inlineStr">
        <is>
          <t>산업용 난방보일러 및 방열기 제조업</t>
        </is>
      </c>
      <c r="F393" s="68" t="inlineStr">
        <is>
          <t>◦중앙난방용 라디에타, 히터 
&lt;예 시&gt;
·중앙난방용 방열기부분품제조, 방열기제조</t>
        </is>
      </c>
      <c r="G393" s="90" t="n">
        <v>90.5</v>
      </c>
      <c r="H393" s="90" t="n">
        <v>0</v>
      </c>
      <c r="I393" s="90" t="n">
        <v>10.8</v>
      </c>
    </row>
    <row r="394" ht="17.25" customHeight="1" s="66">
      <c r="A394" s="65" t="inlineStr">
        <is>
          <t>281204</t>
        </is>
      </c>
      <c r="B394" s="68" t="inlineStr">
        <is>
          <t>제조업</t>
        </is>
      </c>
      <c r="C394" s="68" t="inlineStr">
        <is>
          <t>금속 가공제품 제조업: 기계 및 가구 제외</t>
        </is>
      </c>
      <c r="D394" s="68" t="inlineStr">
        <is>
          <t>산업용 난방 보일러, 금속탱크 및 유사 용기 제조업</t>
        </is>
      </c>
      <c r="E394" s="68" t="inlineStr">
        <is>
          <t>금속 탱크 및 저장 용기 제조업</t>
        </is>
      </c>
      <c r="F394" s="68" t="inlineStr">
        <is>
          <t>◦주로 건물 및 구축물, 선박 및 제조업용 기계◦장비 등에 설치 및 부착되거나 가공 또는 저장용으로 사용되는 대용량(300리터 초과) 금속용기를 제조하는 산업활동을 말한다. 이러한 용기가 부착되는 기계◦장비를 제조하는 사업체에서 이를 함께 생산할 경우에는 그 제조되는 기계◦장비 종류에 따라 분류한다.
&lt;예 시&gt;
·금속 저장 조 제조
·금속 탱크 제조
&lt;제 외&gt;
·상품 포장 또는 운반용 철강제의 탱크, 통, 드럼, 캔, 상자 및 유사용기제조(289902)</t>
        </is>
      </c>
      <c r="G394" s="90" t="n">
        <v>90.5</v>
      </c>
      <c r="H394" s="90" t="n">
        <v>0</v>
      </c>
      <c r="I394" s="90" t="n">
        <v>13.3</v>
      </c>
    </row>
    <row r="395" ht="17.25" customHeight="1" s="66">
      <c r="A395" s="65" t="inlineStr">
        <is>
          <t>281205</t>
        </is>
      </c>
      <c r="B395" s="68" t="inlineStr">
        <is>
          <t>제조업</t>
        </is>
      </c>
      <c r="C395" s="68" t="inlineStr">
        <is>
          <t>금속 가공제품 제조업: 기계 및 가구 제외</t>
        </is>
      </c>
      <c r="D395" s="68" t="inlineStr">
        <is>
          <t>산업용 난방 보일러, 금속탱크 및 유사 용기 제조업</t>
        </is>
      </c>
      <c r="E395" s="68" t="inlineStr">
        <is>
          <t>압축 및 액화 가스 용기 제조업</t>
        </is>
      </c>
      <c r="F395" s="68" t="inlineStr">
        <is>
          <t>◦압축 또는 액화 가스 저장 및 운반용으로 사용하는 가스 용기를 제조하는 산업활동을 말한다. 밸브ㆍ탭ㆍ압력계ㆍ액면계 등 조정용ㆍ제어용 또는 측정용 장치가 붙을 수도 있다. 이러한 용기가 부착되는 기계ㆍ장비를 제조하는 사업체에서 이를 함께 생산할 경우에는 그 제조되는 기계ㆍ장비 종류에 따라 분류한다.
&lt;예 시&gt;
·금속 가스 용기 제조
·금속 압축 용기 제조
&lt;제 외&gt;
·상품 포장 또는 운반용 철강제의 탱크, 통, 드럼, 캔, 상자 및 유사용기 제조(289902)</t>
        </is>
      </c>
      <c r="G395" s="90" t="n">
        <v>90.5</v>
      </c>
      <c r="H395" s="90" t="n">
        <v>0</v>
      </c>
      <c r="I395" s="90" t="n">
        <v>13.3</v>
      </c>
    </row>
    <row r="396" ht="17.25" customHeight="1" s="66">
      <c r="A396" s="65" t="inlineStr">
        <is>
          <t>281300</t>
        </is>
      </c>
      <c r="B396" s="68" t="inlineStr">
        <is>
          <t>제조업</t>
        </is>
      </c>
      <c r="C396" s="68" t="inlineStr">
        <is>
          <t>금속 가공제품 제조업: 기계 및 가구 제외</t>
        </is>
      </c>
      <c r="D396" s="68" t="inlineStr">
        <is>
          <t>핵반응기 및 증기보일러 제조업</t>
        </is>
      </c>
      <c r="E396" s="68" t="inlineStr">
        <is>
          <t>핵반응기 및 증기보일러 제조업</t>
        </is>
      </c>
      <c r="F396" s="68" t="inlineStr">
        <is>
          <t>◦동위원소 분리기를 제외한 각종 목적용 핵반응기를 제조하는 산업활동과 선박용 또는 동력용 증기 및 과열수 발생 보일러와 관련 보조장치를 제조하는 산업활동을 말한다.
&lt;예 시&gt;
·핵반응기(원자로) 제조
·핵반응기(원자로) 부분품 제조
·증기 원동기용 응축기 제조
·증기 원동기용 응축기 보조 장치 제조
·증기 발생 보일러 보조 장치 및 부분품 제조
&lt;제 외&gt;
·동위원소 분리기 제조(292907)
·중앙난방용 온수보일러, 저압 증기보일러 및 관련 방열기 제조(281201,281202)
·증기 기관차 제조(352001)</t>
        </is>
      </c>
      <c r="G396" s="90" t="n">
        <v>91</v>
      </c>
      <c r="H396" s="90" t="n">
        <v>0</v>
      </c>
      <c r="I396" s="90" t="n">
        <v>15.7</v>
      </c>
    </row>
    <row r="397" ht="17.25" customHeight="1" s="66">
      <c r="A397" s="65" t="inlineStr">
        <is>
          <t>289101</t>
        </is>
      </c>
      <c r="B397" s="68" t="inlineStr">
        <is>
          <t>제조업</t>
        </is>
      </c>
      <c r="C397" s="68" t="inlineStr">
        <is>
          <t>금속 가공제품 제조업: 기계 및 가구 제외</t>
        </is>
      </c>
      <c r="D397" s="68" t="inlineStr">
        <is>
          <t>금속 단조, 압형 및 분말 야금제품 제조업</t>
        </is>
      </c>
      <c r="E397" s="68" t="inlineStr">
        <is>
          <t>분말 야금제품 제조업</t>
        </is>
      </c>
      <c r="F397" s="68" t="inlineStr">
        <is>
          <t>◦금속 분말을 형틀에 주입하고 이를 가열 및 압착하여 기계 부품을 포함한 각종 특정형의 금속 분말 야금제품을 직접 제조하는 산업활동을 말한다.</t>
        </is>
      </c>
      <c r="G397" s="90" t="n">
        <v>91.09999999999999</v>
      </c>
      <c r="H397" s="90" t="n">
        <v>0</v>
      </c>
      <c r="I397" s="90" t="n">
        <v>12.3</v>
      </c>
    </row>
    <row r="398" ht="17.25" customHeight="1" s="66">
      <c r="A398" s="65" t="inlineStr">
        <is>
          <t>289102</t>
        </is>
      </c>
      <c r="B398" s="68" t="inlineStr">
        <is>
          <t>제조업</t>
        </is>
      </c>
      <c r="C398" s="68" t="inlineStr">
        <is>
          <t>금속 가공제품 제조업: 기계 및 가구 제외</t>
        </is>
      </c>
      <c r="D398" s="68" t="inlineStr">
        <is>
          <t>금속 단조, 압형 및 분말 야금제품 제조업</t>
        </is>
      </c>
      <c r="E398" s="68" t="inlineStr">
        <is>
          <t>금속 단조제품 제조업</t>
        </is>
      </c>
      <c r="F398" s="68" t="inlineStr">
        <is>
          <t>◦단조 방법에 의하여 각종 금속 단조제품을 제조하는 산업활동을 말한다.
&lt;예 시&gt;
·금속단조표면가공품
&lt;제 외&gt;
·1차 형태의 단공 철강재 생산(271902)</t>
        </is>
      </c>
      <c r="G398" s="90" t="n">
        <v>89.59999999999999</v>
      </c>
      <c r="H398" s="90" t="n">
        <v>0</v>
      </c>
      <c r="I398" s="90" t="n">
        <v>9.199999999999999</v>
      </c>
    </row>
    <row r="399" ht="17.25" customHeight="1" s="66">
      <c r="A399" s="65" t="inlineStr">
        <is>
          <t>289103</t>
        </is>
      </c>
      <c r="B399" s="68" t="inlineStr">
        <is>
          <t>제조업</t>
        </is>
      </c>
      <c r="C399" s="68" t="inlineStr">
        <is>
          <t>금속 가공제품 제조업: 기계 및 가구 제외</t>
        </is>
      </c>
      <c r="D399" s="68" t="inlineStr">
        <is>
          <t>금속 단조, 압형 및 분말 야금제품 제조업</t>
        </is>
      </c>
      <c r="E399" s="68" t="inlineStr">
        <is>
          <t>자동차용 금속 압형제품 제조업</t>
        </is>
      </c>
      <c r="F399" s="68" t="inlineStr">
        <is>
          <t>◦금속 자재를 굽히기, 휘기, 회전 조형, 찍기, 압축 등의 방법으로 가공하여 자동차용 부분품을 제조하는 산업활동을 말한다.
&lt;제 외&gt;
·자동차용 이외 금속 압형제품 제조(289104)</t>
        </is>
      </c>
      <c r="G399" s="90" t="n">
        <v>91.09999999999999</v>
      </c>
      <c r="H399" s="90" t="n">
        <v>0</v>
      </c>
      <c r="I399" s="90" t="n">
        <v>7</v>
      </c>
    </row>
    <row r="400" ht="17.25" customHeight="1" s="66">
      <c r="A400" s="65" t="inlineStr">
        <is>
          <t>289104</t>
        </is>
      </c>
      <c r="B400" s="68" t="inlineStr">
        <is>
          <t>제조업</t>
        </is>
      </c>
      <c r="C400" s="68" t="inlineStr">
        <is>
          <t>금속 가공제품 제조업: 기계 및 가구 제외</t>
        </is>
      </c>
      <c r="D400" s="68" t="inlineStr">
        <is>
          <t>금속 단조, 압형 및 분말 야금제품 제조업</t>
        </is>
      </c>
      <c r="E400" s="68" t="inlineStr">
        <is>
          <t>그 외 금속 압형제품 제조업</t>
        </is>
      </c>
      <c r="F400" s="68" t="inlineStr">
        <is>
          <t>◦금속 자재를 굽히기, 휘기, 회전 조형, 찍기, 압축 등의 방법으로 기계장비 부분품, 의료용품, 장식용품, 가구 부속품, 가정용품, 모형 등의 특정 제품 및 조립용 부분품을 제조하는 산업활동을 말한다.
&lt;제 외&gt;
·자동차용 금속 압형제품 제조(289103)</t>
        </is>
      </c>
      <c r="G400" s="90" t="n">
        <v>91.09999999999999</v>
      </c>
      <c r="H400" s="90" t="n">
        <v>0</v>
      </c>
      <c r="I400" s="90" t="n">
        <v>8.800000000000001</v>
      </c>
    </row>
    <row r="401" ht="17.25" customHeight="1" s="66">
      <c r="A401" s="65" t="inlineStr">
        <is>
          <t>289201</t>
        </is>
      </c>
      <c r="B401" s="68" t="inlineStr">
        <is>
          <t>제조업</t>
        </is>
      </c>
      <c r="C401" s="68" t="inlineStr">
        <is>
          <t>금속 가공제품 제조업: 기계 및 가구 제외</t>
        </is>
      </c>
      <c r="D401" s="68" t="inlineStr">
        <is>
          <t>금속 열처리, 도금 및 기타 금속 가공업</t>
        </is>
      </c>
      <c r="E401" s="68" t="inlineStr">
        <is>
          <t>그 외 기타 금속 가공업</t>
        </is>
      </c>
      <c r="F401" s="68" t="inlineStr">
        <is>
          <t>◦금속용접처리
 ·수수료 또는 계약에 의해, 금속간을 용접 및 유사 방법에 의하여 접합</t>
        </is>
      </c>
      <c r="G401" s="90" t="n">
        <v>87.7</v>
      </c>
      <c r="H401" s="90" t="n">
        <v>0</v>
      </c>
      <c r="I401" s="90" t="n">
        <v>10.2</v>
      </c>
    </row>
    <row r="402" ht="17.25" customHeight="1" s="66">
      <c r="A402" s="65" t="inlineStr">
        <is>
          <t>289202</t>
        </is>
      </c>
      <c r="B402" s="68" t="inlineStr">
        <is>
          <t>제조업</t>
        </is>
      </c>
      <c r="C402" s="68" t="inlineStr">
        <is>
          <t>금속 가공제품 제조업: 기계 및 가구 제외</t>
        </is>
      </c>
      <c r="D402" s="68" t="inlineStr">
        <is>
          <t>금속 열처리, 도금 및 기타 금속 가공업</t>
        </is>
      </c>
      <c r="E402" s="68" t="inlineStr">
        <is>
          <t>도장 및 기타 피막 처리업</t>
        </is>
      </c>
      <c r="F402" s="68" t="inlineStr">
        <is>
          <t>◦금속 가공제품을 에나멜, 래커, 충전 물질 등으로 착색◦피복 또는 도장◦법랑처리◦충전◦기타 피막 형성 처리하는 산업활동을 말한다.</t>
        </is>
      </c>
      <c r="G402" s="90" t="n">
        <v>91.5</v>
      </c>
      <c r="H402" s="90" t="n">
        <v>0</v>
      </c>
      <c r="I402" s="90" t="n">
        <v>10.6</v>
      </c>
    </row>
    <row r="403" ht="17.25" customHeight="1" s="66">
      <c r="A403" s="65" t="inlineStr">
        <is>
          <t>289205</t>
        </is>
      </c>
      <c r="B403" s="68" t="inlineStr">
        <is>
          <t>제조업</t>
        </is>
      </c>
      <c r="C403" s="68" t="inlineStr">
        <is>
          <t>금속 가공제품 제조업: 기계 및 가구 제외</t>
        </is>
      </c>
      <c r="D403" s="68" t="inlineStr">
        <is>
          <t>금속 열처리, 도금 및 기타 금속 가공업</t>
        </is>
      </c>
      <c r="E403" s="68" t="inlineStr">
        <is>
          <t>절삭 가공 및 유사 처리업</t>
        </is>
      </c>
      <c r="F403" s="68" t="inlineStr">
        <is>
          <t>◦선반, 레이저 및 기타 전자응용 기계 등을 이용하여 철강 또는 비철금속 물질을 절삭, 식각, 재단 및 기타 표면 가공하여 특정 제품의 부분품, 반제품 또는 완제품 형태의 각종 철강 또는 비철금속제품을 생산하는 산업활동을 말한다.
&lt;제 외&gt;
·1차 금속제품 제조업에서 생산된 소재 상태의 제품을 구입하여 1차 형태 절단 강재 생산(271902)
·가압방법에 의한 금속 압형제품 제조(289104)
·연마방법에 의한 금속 표면 처리(289208)
·철골 용접공사 활동(452118)
·금속제품 가공업체 등과 수수료 및 계약에 의해 소재 상태의 금속제품을 단순 절단, 절곡한 강재 생산(289208)</t>
        </is>
      </c>
      <c r="G403" s="90" t="n">
        <v>87.7</v>
      </c>
      <c r="H403" s="90" t="n">
        <v>0</v>
      </c>
      <c r="I403" s="90" t="n">
        <v>11.8</v>
      </c>
    </row>
    <row r="404" ht="17.25" customHeight="1" s="66">
      <c r="A404" s="65" t="inlineStr">
        <is>
          <t>289206</t>
        </is>
      </c>
      <c r="B404" s="68" t="inlineStr">
        <is>
          <t>제조업</t>
        </is>
      </c>
      <c r="C404" s="68" t="inlineStr">
        <is>
          <t>금속 가공제품 제조업: 기계 및 가구 제외</t>
        </is>
      </c>
      <c r="D404" s="68" t="inlineStr">
        <is>
          <t>금속 열처리, 도금 및 기타 금속 가공업</t>
        </is>
      </c>
      <c r="E404" s="68" t="inlineStr">
        <is>
          <t>금속 열처리업</t>
        </is>
      </c>
      <c r="F404" s="68" t="inlineStr">
        <is>
          <t>◦기계 부분품 및 일반 철물 등 금속 가공제품을 열처리 가공하는 산업활동을 말한다.</t>
        </is>
      </c>
      <c r="G404" s="90" t="n">
        <v>91.5</v>
      </c>
      <c r="H404" s="90" t="n">
        <v>0</v>
      </c>
      <c r="I404" s="90" t="n">
        <v>10.8</v>
      </c>
    </row>
    <row r="405" ht="17.25" customHeight="1" s="66">
      <c r="A405" s="65" t="inlineStr">
        <is>
          <t>289207</t>
        </is>
      </c>
      <c r="B405" s="68" t="inlineStr">
        <is>
          <t>제조업</t>
        </is>
      </c>
      <c r="C405" s="68" t="inlineStr">
        <is>
          <t>금속 가공제품 제조업: 기계 및 가구 제외</t>
        </is>
      </c>
      <c r="D405" s="68" t="inlineStr">
        <is>
          <t>금속 열처리, 도금 및 기타 금속 가공업</t>
        </is>
      </c>
      <c r="E405" s="68" t="inlineStr">
        <is>
          <t>도금업</t>
        </is>
      </c>
      <c r="F405" s="68" t="inlineStr">
        <is>
          <t>◦철강 및 비철금속을 각종 방법으로 도금하는 산업활동을 말한다. 도금활동에 결합 수행되는 도금 전◦후 처리활동(산세◦수세◦탈사, 마무리 등 공정)이 부수될 수 있다.
&lt;제 외&gt;
·제철공정과 열간·냉간 압연 및 압출공정, 도금공정을 연속적으로 수행하여 철강제품을 제조하는 활동(271101)
·제강공정과 열간·냉간 압연 및 압출공정, 도금공정을 연속적으로 수행하여 철강제품을 제조하는 활동(271102)
·1차 형재 또는 반제품 상태의 철강재를 구입하여 열간 압연 및 압출, 도금공정을 연속적으로 수행하여 철강 제품을 제조하는 활동(271204)
·1차 형재 또는 반제품 상태의 철강재를 구입하여 냉간 압연 및 압출, 도금공정을 연속적으로 수행하여 철강 제품을 제조하는 활동(271205)</t>
        </is>
      </c>
      <c r="G405" s="90" t="n">
        <v>91.5</v>
      </c>
      <c r="H405" s="90" t="n">
        <v>0</v>
      </c>
      <c r="I405" s="90" t="n">
        <v>13</v>
      </c>
    </row>
    <row r="406" ht="17.25" customHeight="1" s="66">
      <c r="A406" s="65" t="inlineStr">
        <is>
          <t>289208</t>
        </is>
      </c>
      <c r="B406" s="68" t="inlineStr">
        <is>
          <t>제조업</t>
        </is>
      </c>
      <c r="C406" s="68" t="inlineStr">
        <is>
          <t>금속 가공제품 제조업: 기계 및 가구 제외</t>
        </is>
      </c>
      <c r="D406" s="68" t="inlineStr">
        <is>
          <t>금속 열처리, 도금 및 기타 금속 가공업</t>
        </is>
      </c>
      <c r="E406" s="68" t="inlineStr">
        <is>
          <t>그 외 기타 금속 가공업</t>
        </is>
      </c>
      <c r="F406" s="68" t="inlineStr">
        <is>
          <t>◦금속 물질을 용단하거나 연마 및 기타 금속 표면을 가공하는 산업활동을 말한다. 수수료 및 계약에 의해 각종 금속 물질을 특정한 규격으로 단순 절단, 절곡, 판금(절단, 구멍 내기, 구부리기, 모양 형성 등) 처리하는 산업활동도 포함한다.
&lt;제 외&gt;
·건물, 구축물용 판금제품(281103)
·선반, 레이저 기기 등을 이용한 절삭, 재단(289205)
*수수료 또는 계약에 의한 금속용접처리(→289201)</t>
        </is>
      </c>
      <c r="G406" s="90" t="n">
        <v>91.5</v>
      </c>
      <c r="H406" s="90" t="n">
        <v>0</v>
      </c>
      <c r="I406" s="90" t="n">
        <v>10.8</v>
      </c>
    </row>
    <row r="407" ht="17.25" customHeight="1" s="66">
      <c r="A407" s="65" t="inlineStr">
        <is>
          <t>289301</t>
        </is>
      </c>
      <c r="B407" s="68" t="inlineStr">
        <is>
          <t>제조업</t>
        </is>
      </c>
      <c r="C407" s="68" t="inlineStr">
        <is>
          <t>금속 가공제품 제조업: 기계 및 가구 제외</t>
        </is>
      </c>
      <c r="D407" s="68" t="inlineStr">
        <is>
          <t>날붙이, 수공구 및 일반 철물 제조업</t>
        </is>
      </c>
      <c r="E407" s="68" t="inlineStr">
        <is>
          <t>비동력식 수공구 제조업</t>
        </is>
      </c>
      <c r="F407" s="68" t="inlineStr">
        <is>
          <t>◦농림업 및 정원용의 각종 수공구
&lt;예 시&gt;
·삽, 곡괭이, 호미, 포크, 도끼, 작두, 낫, 전지가위, 쟁기, 쇠스랑</t>
        </is>
      </c>
      <c r="G407" s="90" t="n">
        <v>94.5</v>
      </c>
      <c r="H407" s="90" t="n">
        <v>0</v>
      </c>
      <c r="I407" s="90" t="n">
        <v>4.8</v>
      </c>
    </row>
    <row r="408" ht="17.25" customHeight="1" s="66">
      <c r="A408" s="65" t="inlineStr">
        <is>
          <t>289302</t>
        </is>
      </c>
      <c r="B408" s="68" t="inlineStr">
        <is>
          <t>제조업</t>
        </is>
      </c>
      <c r="C408" s="68" t="inlineStr">
        <is>
          <t>금속 가공제품 제조업: 기계 및 가구 제외</t>
        </is>
      </c>
      <c r="D408" s="68" t="inlineStr">
        <is>
          <t>날붙이, 수공구 및 일반 철물 제조업</t>
        </is>
      </c>
      <c r="E408" s="68" t="inlineStr">
        <is>
          <t>일반 철물 제조업</t>
        </is>
      </c>
      <c r="F408" s="68" t="inlineStr">
        <is>
          <t>◦문 및 창문용, 건물용, 가구용, 선박 및 차량 등의 운송장비용 및 기타 일반용의 철물을 제조하는 산업활동을 말한다. 가구 성격이 아닌 금속제 옷걸이, 타월걸이, 커튼 및 차양 부착물 등을 제조하는 경우도 포함한다.
&lt;예 시&gt;
·경첩 제조
·카스터 제조
·금속제 옷걸이 제조(입식 제외)
·금속제 까치발(브래킷, bracket) 제조
·금속제 선반 받침대 제조
·자물쇠 및 열쇠에 결합되는 유금 제조
&lt;제 외&gt;
·조립된 철도 궤도, 회전대, 플레트홈 완충기 등 철도 궤도 부착물 제조(281101)
·선박 및 부유물용 조립 부분품 제조(351103)
*자물쇠 및 열쇠 제조(→289305)</t>
        </is>
      </c>
      <c r="G408" s="90" t="n">
        <v>92.90000000000001</v>
      </c>
      <c r="H408" s="90" t="n">
        <v>0</v>
      </c>
      <c r="I408" s="90" t="n">
        <v>9.699999999999999</v>
      </c>
    </row>
    <row r="409" ht="17.25" customHeight="1" s="66">
      <c r="A409" s="65" t="inlineStr">
        <is>
          <t>289303</t>
        </is>
      </c>
      <c r="B409" s="68" t="inlineStr">
        <is>
          <t>제조업</t>
        </is>
      </c>
      <c r="C409" s="68" t="inlineStr">
        <is>
          <t>금속 가공제품 제조업: 기계 및 가구 제외</t>
        </is>
      </c>
      <c r="D409" s="68" t="inlineStr">
        <is>
          <t>날붙이, 수공구 및 일반 철물 제조업</t>
        </is>
      </c>
      <c r="E409" s="68" t="inlineStr">
        <is>
          <t>톱 및 호환성 공구 제조업</t>
        </is>
      </c>
      <c r="F409" s="68" t="inlineStr">
        <is>
          <t>◦수동식 톱 및 톱날, 공작기계 등에 부착하여 사용하는 톱날, 칼, 칼날 등 기계용 또는 수공구용으로 사용되는 호환성 공구를 제조하는 산업활동을 말한다.
&lt;예 시&gt;
·톱 및 톱날 제조(수동식)
·호환성 공구 제조
&lt;제 외&gt;
·수지식 전동톱 제조(292201)</t>
        </is>
      </c>
      <c r="G409" s="90" t="n">
        <v>91.59999999999999</v>
      </c>
      <c r="H409" s="90" t="n">
        <v>0</v>
      </c>
      <c r="I409" s="90" t="n">
        <v>9.9</v>
      </c>
    </row>
    <row r="410" ht="17.25" customHeight="1" s="66">
      <c r="A410" s="65" t="inlineStr">
        <is>
          <t>289304</t>
        </is>
      </c>
      <c r="B410" s="68" t="inlineStr">
        <is>
          <t>제조업</t>
        </is>
      </c>
      <c r="C410" s="68" t="inlineStr">
        <is>
          <t>금속 가공제품 제조업: 기계 및 가구 제외</t>
        </is>
      </c>
      <c r="D410" s="68" t="inlineStr">
        <is>
          <t>날붙이, 수공구 및 일반 철물 제조업</t>
        </is>
      </c>
      <c r="E410" s="68" t="inlineStr">
        <is>
          <t>날붙이 제조업</t>
        </is>
      </c>
      <c r="F410" s="68" t="inlineStr">
        <is>
          <t>◦식탁용 금속제품(식탁용 그릇 등 용기류는 제외)을 포함하여 각종 용도의 날붙이와 이들의 금속제 손잡이 등을 제조하는 산업활동을 말한다.
&lt;예 시&gt;
·금속제 식탁용품(숟가락, 젓가락, 칼, 포크, 스푼 등) 제조
·금속제 설탕 집
·가위 제조
·칼 및 칼날 제조          
·면도날 제조
·비전기식 면도기 제조
·비전기식 조발기 제조                
·손톱깎이 제조
·무기용 대검 및 칼집 제조
·금속제 날붙이 손잡이 제조
&lt;제 외&gt;
·수동식 식품 가공 기기 및 주방 용기 제조(289903)
·기계용 칼 및 칼날 제조(289303)</t>
        </is>
      </c>
      <c r="G410" s="90" t="n">
        <v>91.59999999999999</v>
      </c>
      <c r="H410" s="90" t="n">
        <v>0</v>
      </c>
      <c r="I410" s="90" t="n">
        <v>9.699999999999999</v>
      </c>
    </row>
    <row r="411" ht="17.25" customHeight="1" s="66">
      <c r="A411" s="65" t="inlineStr">
        <is>
          <t>289305</t>
        </is>
      </c>
      <c r="B411" s="68" t="inlineStr">
        <is>
          <t>제조업</t>
        </is>
      </c>
      <c r="C411" s="68" t="inlineStr">
        <is>
          <t>금속 가공제품 제조업: 기계 및 가구 제외</t>
        </is>
      </c>
      <c r="D411" s="68" t="inlineStr">
        <is>
          <t>날붙이, 수공구 및 일반 철물 제조업</t>
        </is>
      </c>
      <c r="E411" s="68" t="inlineStr">
        <is>
          <t>일반 철물 제조업</t>
        </is>
      </c>
      <c r="F411" s="68" t="inlineStr">
        <is>
          <t>◦자물쇠 및 열쇠</t>
        </is>
      </c>
      <c r="G411" s="90" t="n">
        <v>91.59999999999999</v>
      </c>
      <c r="H411" s="90" t="n">
        <v>0</v>
      </c>
      <c r="I411" s="90" t="n">
        <v>11</v>
      </c>
    </row>
    <row r="412" ht="17.25" customHeight="1" s="66">
      <c r="A412" s="65" t="inlineStr">
        <is>
          <t>289306</t>
        </is>
      </c>
      <c r="B412" s="68" t="inlineStr">
        <is>
          <t>제조업</t>
        </is>
      </c>
      <c r="C412" s="68" t="inlineStr">
        <is>
          <t>금속 가공제품 제조업: 기계 및 가구 제외</t>
        </is>
      </c>
      <c r="D412" s="68" t="inlineStr">
        <is>
          <t>날붙이, 수공구 및 일반 철물 제조업</t>
        </is>
      </c>
      <c r="E412" s="68" t="inlineStr">
        <is>
          <t>비동력식 수공구 제조업</t>
        </is>
      </c>
      <c r="F412" s="68" t="inlineStr">
        <is>
          <t>◦공업용, 광업용 등 각종 용도의 수공구를 제조하는 산업활동으로서 가정용 수공구를 제조하는 산업활동을 포함한다.
&lt;예 시&gt;
·줄 및 유사 공구 제조
·플라이어(절단용 플라이어 포함), 집게, 핀셋, 금속 절단용 가위 제조
·수동식 스패너와 렌치(토크미터 렌치 포함, 탭 렌치 제외), 소켓 스패넛 제조
·유리 및 다이아몬드 가공용 수공구 제조
·블로우램프, 바이스, 클램프, 모루(앤빌), 프레임을 갖춘 수동식 또는 족답식 연마 휠 제조
·비전기식 다리미 및 인두, 연탄 집게 등 수공구 성격의 가정용 기기 제조
&lt;제 외&gt;
·탭렌치 등 기계용 및 호환성 공구 제조(289303)
*농림업 및 정원용의 각종 수공구 제조(→289301)</t>
        </is>
      </c>
      <c r="G412" s="90" t="n">
        <v>91.59999999999999</v>
      </c>
      <c r="H412" s="90" t="n">
        <v>0</v>
      </c>
      <c r="I412" s="90" t="n">
        <v>12.2</v>
      </c>
    </row>
    <row r="413" ht="17.25" customHeight="1" s="66">
      <c r="A413" s="65" t="inlineStr">
        <is>
          <t>289901</t>
        </is>
      </c>
      <c r="B413" s="68" t="inlineStr">
        <is>
          <t>제조업</t>
        </is>
      </c>
      <c r="C413" s="68" t="inlineStr">
        <is>
          <t>금속 가공제품 제조업: 기계 및 가구 제외</t>
        </is>
      </c>
      <c r="D413" s="68" t="inlineStr">
        <is>
          <t>금속 파스너, 스프링 및 금속선 가공제품 제조업</t>
        </is>
      </c>
      <c r="E413" s="68" t="inlineStr">
        <is>
          <t>금속선 가공제품 제조업</t>
        </is>
      </c>
      <c r="F413" s="68" t="inlineStr">
        <is>
          <t>◦구입한 철선 및 기타 금속선(귀금속 제외)을 가공 또는 조립하여 각종 금속선 조립제품을 제조하는 산업활동을 말한다.
&lt;예 시&gt;
·비절연 금속 로프 제조
·금속 케이블 제조
·철망제품 제조
·철망제 발판 제조
·콘크리트용 철망 제조
·강망(expanded metal, 鋼網) 제조
·새장 제조(철선제)
·금속제 연선, 엮은 밴드, 사슬 제조
·금속선제 그릴 제조
·철망 제조
·금속선 직물 제조
·가시 있는 금속선(barbed wire) 제조
&lt;제 외&gt;
·금속제 못 제조(289910)
·스트립상의 스테이플, 클립 등 사무용 철선제품 제조(289915)
·선스프링 제조(289913)</t>
        </is>
      </c>
      <c r="G413" s="90" t="n">
        <v>92</v>
      </c>
      <c r="H413" s="90" t="n">
        <v>0</v>
      </c>
      <c r="I413" s="90" t="n">
        <v>11.1</v>
      </c>
    </row>
    <row r="414" ht="17.25" customHeight="1" s="66">
      <c r="A414" s="65" t="inlineStr">
        <is>
          <t>289902</t>
        </is>
      </c>
      <c r="B414" s="68" t="inlineStr">
        <is>
          <t>제조업</t>
        </is>
      </c>
      <c r="C414" s="68" t="inlineStr">
        <is>
          <t>금속 가공제품 제조업: 기계 및 가구 제외</t>
        </is>
      </c>
      <c r="D414" s="68" t="inlineStr">
        <is>
          <t>그 외 기타 금속 가공제품 제조업</t>
        </is>
      </c>
      <c r="E414" s="68" t="inlineStr">
        <is>
          <t>금속 캔 및 기타 포장용기 제조업</t>
        </is>
      </c>
      <c r="F414" s="68" t="inlineStr">
        <is>
          <t>◦상품 운반용 또는 포장용 금속제 통, 드럼, 캔 및 유사 용기를 제조하는 산업활동을 말한다.
&lt;예 시&gt;
·금속 통 제조
·금속제 병마개 제조     
·금속 상자 제조
·도로 설치용 쓰레기통 제조               
·우편함 및 우체통 제조
·소화장치 보관용 금속제 상자 제조
&lt;제 외&gt;
·압축 및 액화가스 운반용 또는 저장용 금속제 용기 제조(281205)
·설치용 또는 저장용 금속용기 제조(281204)
·하나 이상의 운송수단에 의하여 운반될 수 있도록 특별히 설계, 제작되거나 특수 구조를 갖춘 운반용 컨테이너 제조(342000)
·가정용 쌀통 등 식품저장용 금속제품 제조(289903)</t>
        </is>
      </c>
      <c r="G414" s="90" t="n">
        <v>88</v>
      </c>
      <c r="H414" s="90" t="n">
        <v>0</v>
      </c>
      <c r="I414" s="90" t="n">
        <v>7.9</v>
      </c>
    </row>
    <row r="415" ht="17.25" customHeight="1" s="66">
      <c r="A415" s="65" t="inlineStr">
        <is>
          <t>289903</t>
        </is>
      </c>
      <c r="B415" s="68" t="inlineStr">
        <is>
          <t>제조업</t>
        </is>
      </c>
      <c r="C415" s="68" t="inlineStr">
        <is>
          <t>금속 가공제품 제조업: 기계 및 가구 제외</t>
        </is>
      </c>
      <c r="D415" s="68" t="inlineStr">
        <is>
          <t>그 외 기타 금속 가공제품 제조업</t>
        </is>
      </c>
      <c r="E415" s="68" t="inlineStr">
        <is>
          <t>수동식 식품 가공 기기 및 금속 주방용기 제조업</t>
        </is>
      </c>
      <c r="F415" s="68" t="inlineStr">
        <is>
          <t>◦식품 가공용 비전기 수동식 기계 및 기구, 식품 저장◦조리◦공급용의 용기류 및 기타 가정용 금속 가공제품을 제조하는 산업활동을 말한다.
&lt;예 시&gt;
·양념 분쇄기 제조
·아이스크림 조제기 제조
·고기 절단 및 분쇄기 제조
·수동식 식품 가공기기 제조
·캔 및 병 개폐기 제조
·금속제 주방 용기 제조        
·쌀통 제조(금속)
·수동식 국수 절단기 및 압출기 제조
·달걀, 크림, 마요네즈 처리 도구 제조
·법랑제(냄비, 프라이팬, 가정용집기)
&lt;제 외&gt;
·금속 단조 및 압형 제품 제조(289101)
·가정용 비전기식 연소기, 풍로 및 난방기구 제조(293004)</t>
        </is>
      </c>
      <c r="G415" s="90" t="n">
        <v>92.40000000000001</v>
      </c>
      <c r="H415" s="90" t="n">
        <v>0</v>
      </c>
      <c r="I415" s="90" t="n">
        <v>10.7</v>
      </c>
    </row>
    <row r="416" ht="17.25" customHeight="1" s="66">
      <c r="A416" s="65" t="inlineStr">
        <is>
          <t>289908</t>
        </is>
      </c>
      <c r="B416" s="68" t="inlineStr">
        <is>
          <t>제조업</t>
        </is>
      </c>
      <c r="C416" s="68" t="inlineStr">
        <is>
          <t>금속 가공제품 제조업: 기계 및 가구 제외</t>
        </is>
      </c>
      <c r="D416" s="68" t="inlineStr">
        <is>
          <t>금속 파스너, 스프링 및 금속선 가공제품 제조업</t>
        </is>
      </c>
      <c r="E416" s="68" t="inlineStr">
        <is>
          <t>볼트 및 너트류 제조업</t>
        </is>
      </c>
      <c r="F416" s="68" t="inlineStr">
        <is>
          <t>◦틈을 조이거나 고정시키는데 사용되는 나선 가공된 원통형 금속제 볼트 및 너트를 제조하는 산업활동을 말한다.
&lt;제 외&gt;
·나사못 제조(289910)</t>
        </is>
      </c>
      <c r="G416" s="90" t="n">
        <v>92</v>
      </c>
      <c r="H416" s="90" t="n">
        <v>0</v>
      </c>
      <c r="I416" s="90" t="n">
        <v>9.699999999999999</v>
      </c>
    </row>
    <row r="417" ht="17.25" customHeight="1" s="66">
      <c r="A417" s="65" t="inlineStr">
        <is>
          <t>289910</t>
        </is>
      </c>
      <c r="B417" s="68" t="inlineStr">
        <is>
          <t>제조업</t>
        </is>
      </c>
      <c r="C417" s="68" t="inlineStr">
        <is>
          <t>금속 가공제품 제조업: 기계 및 가구 제외</t>
        </is>
      </c>
      <c r="D417" s="68" t="inlineStr">
        <is>
          <t>금속 파스너, 스프링 및 금속선 가공제품 제조업</t>
        </is>
      </c>
      <c r="E417" s="68" t="inlineStr">
        <is>
          <t>그 외 금속 파스너 및 나사제품 제조업</t>
        </is>
      </c>
      <c r="F417" s="68" t="inlineStr">
        <is>
          <t>◦틈을 조이거나 고정시키는데 사용되는 금속 파스너 및 나사제품을 제조하는 산업활동을 말한다.
&lt;예 시&gt;
·금속제품 영구 조립용 리벳 제조
·금속제 못, 압정 제조
·쐐기 및 쐐기 고정 못 제조
&lt;제 외&gt;
·볼트 및 너트 제조(289908)
·금속제 유금, 꺾쇠, 유금이 붙은 프레임, 버클용 유금 제조(281101)
·자물쇠가 결합된 금속제 유금 제조(289302)
·관(管) 리벳, 이고(二股) 리벳 제조(281101)</t>
        </is>
      </c>
      <c r="G417" s="90" t="n">
        <v>92</v>
      </c>
      <c r="H417" s="90" t="n">
        <v>0</v>
      </c>
      <c r="I417" s="90" t="n">
        <v>12.3</v>
      </c>
    </row>
    <row r="418" ht="17.25" customHeight="1" s="66">
      <c r="A418" s="65" t="inlineStr">
        <is>
          <t>289913</t>
        </is>
      </c>
      <c r="B418" s="68" t="inlineStr">
        <is>
          <t>제조업</t>
        </is>
      </c>
      <c r="C418" s="68" t="inlineStr">
        <is>
          <t>금속 가공제품 제조업: 기계 및 가구 제외</t>
        </is>
      </c>
      <c r="D418" s="68" t="inlineStr">
        <is>
          <t>금속 파스너, 스프링 및 금속선 가공제품 제조업</t>
        </is>
      </c>
      <c r="E418" s="68" t="inlineStr">
        <is>
          <t>금속 스프링 제조업</t>
        </is>
      </c>
      <c r="F418" s="68" t="inlineStr">
        <is>
          <t>◦선형, 코일형, 나선형, 판형 등의 각종 금속 스프링을 제조하는 산업활동을 말한다.
&lt;예 시&gt;
·코일형 금속 스프링 제조
·금속 판 스프링 제조
·스프링 제조(금속)
·나선형 금속 스프링 제조</t>
        </is>
      </c>
      <c r="G418" s="90" t="n">
        <v>92</v>
      </c>
      <c r="H418" s="90" t="n">
        <v>0</v>
      </c>
      <c r="I418" s="90" t="n">
        <v>12.3</v>
      </c>
    </row>
    <row r="419" ht="17.25" customHeight="1" s="66">
      <c r="A419" s="65" t="inlineStr">
        <is>
          <t>289914</t>
        </is>
      </c>
      <c r="B419" s="68" t="inlineStr">
        <is>
          <t>제조업</t>
        </is>
      </c>
      <c r="C419" s="68" t="inlineStr">
        <is>
          <t>금속 가공제품 제조업: 기계 및 가구 제외</t>
        </is>
      </c>
      <c r="D419" s="68" t="inlineStr">
        <is>
          <t>그 외 기타 금속 가공제품 제조업</t>
        </is>
      </c>
      <c r="E419" s="68" t="inlineStr">
        <is>
          <t>피복 및 충전 용접봉 제조업</t>
        </is>
      </c>
      <c r="F419" s="68" t="inlineStr">
        <is>
          <t>◦금속이 기초가 되고 용제(플럭스, flux)를 피복 또는 심에 충전하여 납땜, 납접, 용접, 융착 등에 사용하는 용접봉 및 용접용 선ㆍ관ㆍ판ㆍ전극 등 유사 제품을 제조하는 산업활동을 말한다.
&lt;예 시&gt;
·전기 아크용접용 용제 도포 용접봉
·전기 아크용접용 용제 충전 용접봉
&lt;제 외&gt;
·피복, 도포, 충전하지 않은 용접용 금속 재료를 제조하는 경우는 재료물질인 금속 종류별 선, 봉, 관 등으로 분류</t>
        </is>
      </c>
      <c r="G419" s="90" t="n">
        <v>92</v>
      </c>
      <c r="H419" s="90" t="n">
        <v>0</v>
      </c>
      <c r="I419" s="90" t="n">
        <v>12.3</v>
      </c>
    </row>
    <row r="420" ht="17.25" customHeight="1" s="66">
      <c r="A420" s="65" t="inlineStr">
        <is>
          <t>289915</t>
        </is>
      </c>
      <c r="B420" s="68" t="inlineStr">
        <is>
          <t>제조업</t>
        </is>
      </c>
      <c r="C420" s="68" t="inlineStr">
        <is>
          <t>금속 가공제품 제조업: 기계 및 가구 제외</t>
        </is>
      </c>
      <c r="D420" s="68" t="inlineStr">
        <is>
          <t>그 외 기타 금속 가공제품 제조업</t>
        </is>
      </c>
      <c r="E420" s="68" t="inlineStr">
        <is>
          <t>그 외 기타 분류 안된 금속 가공제품 제조업</t>
        </is>
      </c>
      <c r="F420" s="68" t="inlineStr">
        <is>
          <t>◦사무실용 금속비품
&lt;예 시&gt;
·금속제 서류철용 부착물, 서신용 클립, 레터코너, 서류용 클립, 색인용 택 및 스트립상의 사무용 스테이플
·비금속제의 서류 정리함, 카드 인텍스함, 서류꽂이, 연필꽂이대, 사무실용 스탬프스탠드와 유사한 사무실용 또는 책상용 비품</t>
        </is>
      </c>
      <c r="G420" s="90" t="n">
        <v>92</v>
      </c>
      <c r="H420" s="90" t="n">
        <v>0</v>
      </c>
      <c r="I420" s="90" t="n">
        <v>12.3</v>
      </c>
    </row>
    <row r="421" ht="17.25" customHeight="1" s="66">
      <c r="A421" s="65" t="inlineStr">
        <is>
          <t>289916</t>
        </is>
      </c>
      <c r="B421" s="68" t="inlineStr">
        <is>
          <t>제조업</t>
        </is>
      </c>
      <c r="C421" s="68" t="inlineStr">
        <is>
          <t>금속 가공제품 제조업: 기계 및 가구 제외</t>
        </is>
      </c>
      <c r="D421" s="68" t="inlineStr">
        <is>
          <t>그 외 기타 금속 가공제품 제조업</t>
        </is>
      </c>
      <c r="E421" s="68" t="inlineStr">
        <is>
          <t>금속 위생용품 제조업</t>
        </is>
      </c>
      <c r="F421" s="68" t="inlineStr">
        <is>
          <t>◦고정 설치용 여부를 불문하고 세면기, 개수통, 변기, 목욕통 등의 금속 위생용품을 제조하는 산업활동을 말한다.
&lt;예 시&gt;
·금속제 세면기 제조
·금속제 목욕통 제조
·금속제 개수통(싱크 상판) 제조
·금속제 위생용품 및 부분품 제조
&lt;제 외&gt;
·금속관 연결구류 제조(271202)
·금속제 주방용기 제조(289903)
·금속제 개수통과 그 장치대(목재 또는 금속 재료)가 결합·조립된 주방용 가구 제조(361001)</t>
        </is>
      </c>
      <c r="G421" s="90" t="n">
        <v>88</v>
      </c>
      <c r="H421" s="90" t="n">
        <v>0</v>
      </c>
      <c r="I421" s="90" t="n">
        <v>10.9</v>
      </c>
    </row>
    <row r="422" ht="17.25" customHeight="1" s="66">
      <c r="A422" s="65" t="inlineStr">
        <is>
          <t>289917</t>
        </is>
      </c>
      <c r="B422" s="68" t="inlineStr">
        <is>
          <t>제조업</t>
        </is>
      </c>
      <c r="C422" s="68" t="inlineStr">
        <is>
          <t>금속 가공제품 제조업: 기계 및 가구 제외</t>
        </is>
      </c>
      <c r="D422" s="68" t="inlineStr">
        <is>
          <t>그 외 기타 금속 가공제품 제조업</t>
        </is>
      </c>
      <c r="E422" s="68" t="inlineStr">
        <is>
          <t>금속 표시판 제조업</t>
        </is>
      </c>
      <c r="F422" s="68" t="inlineStr">
        <is>
          <t>◦금속 표시판, 교통 금속 표시판 및 관련 장치물을 제조하는 산업활동을 말한다.
&lt;예 시&gt; 
·도로 표지 금속판 제조
·교통 표지 금속판 제조
·표시 금속판 제조
·교통 안전 표시 금속판 제조
&lt;제 외&gt;
·교통 신호장치 제조(319005)</t>
        </is>
      </c>
      <c r="G422" s="90" t="n">
        <v>92.40000000000001</v>
      </c>
      <c r="H422" s="90" t="n">
        <v>0</v>
      </c>
      <c r="I422" s="90" t="n">
        <v>13</v>
      </c>
    </row>
    <row r="423" ht="17.25" customHeight="1" s="66">
      <c r="A423" s="65" t="inlineStr">
        <is>
          <t>289918</t>
        </is>
      </c>
      <c r="B423" s="68" t="inlineStr">
        <is>
          <t>제조업</t>
        </is>
      </c>
      <c r="C423" s="68" t="inlineStr">
        <is>
          <t>금속 가공제품 제조업: 기계 및 가구 제외</t>
        </is>
      </c>
      <c r="D423" s="68" t="inlineStr">
        <is>
          <t>그 외 기타 금속 가공제품 제조업</t>
        </is>
      </c>
      <c r="E423" s="68" t="inlineStr">
        <is>
          <t>그 외 기타 분류 안된 금속 가공제품 제조업</t>
        </is>
      </c>
      <c r="F423" s="68" t="inlineStr">
        <is>
          <t>◦금고
&lt;예 시&gt;
·금고, 장갑 금고실, 금고실 라이닝, 금고실문, 현금괴 등</t>
        </is>
      </c>
      <c r="G423" s="90" t="n">
        <v>92.40000000000001</v>
      </c>
      <c r="H423" s="90" t="n">
        <v>0</v>
      </c>
      <c r="I423" s="90" t="n">
        <v>7.5</v>
      </c>
    </row>
    <row r="424" ht="17.25" customHeight="1" s="66">
      <c r="A424" s="65" t="inlineStr">
        <is>
          <t>291100</t>
        </is>
      </c>
      <c r="B424" s="68" t="inlineStr">
        <is>
          <t>제조업</t>
        </is>
      </c>
      <c r="C424" s="68" t="inlineStr">
        <is>
          <t>기타 기계 및 장비 제조업</t>
        </is>
      </c>
      <c r="D424" s="68" t="inlineStr">
        <is>
          <t>내연기관 및 터빈 제조업: 항공기용 및 차량용 제외</t>
        </is>
      </c>
      <c r="E424" s="68" t="inlineStr">
        <is>
          <t>내연기관 제조업</t>
        </is>
      </c>
      <c r="F424" s="68" t="inlineStr">
        <is>
          <t>◦석유, 등유, 알코올, 가스 등을 연료로 사용하는 불꽃 점화식 또는 압축 점화식 피스톤 내연기관(엔진)을 제조하는 산업활동을 말한다. 자동차용, 이륜차용, 항공기용은 제외한다.
&lt;예 시&gt;
·선박용 피스톤 내연기관 제조</t>
        </is>
      </c>
      <c r="G424" s="90" t="n">
        <v>91.90000000000001</v>
      </c>
      <c r="H424" s="90" t="n">
        <v>0</v>
      </c>
      <c r="I424" s="90" t="n">
        <v>10.2</v>
      </c>
    </row>
    <row r="425" ht="17.25" customHeight="1" s="66">
      <c r="A425" s="65" t="inlineStr">
        <is>
          <t>291101</t>
        </is>
      </c>
      <c r="B425" s="68" t="inlineStr">
        <is>
          <t>제조업</t>
        </is>
      </c>
      <c r="C425" s="68" t="inlineStr">
        <is>
          <t>기타 기계 및 장비 제조업</t>
        </is>
      </c>
      <c r="D425" s="68" t="inlineStr">
        <is>
          <t>내연기관 및 터빈 제조업: 항공기용 및 차량용 제외</t>
        </is>
      </c>
      <c r="E425" s="68" t="inlineStr">
        <is>
          <t>기타 기관 및 터빈 제조업</t>
        </is>
      </c>
      <c r="F425" s="68" t="inlineStr">
        <is>
          <t>◦내연기관을 제외한 기타 엔진 및 터빈, 풍력 엔진 및 수력 엔진 등을 제조하는 산업활동을 말한다.
&lt;예 시&gt;
·증기 기관 제조               
·증기 터빈 제조                
·가스 터빈 제조       
·추 구동식 모터 제조          
·스프링 구동식 모터 제조       
·수력 터빈 제조       
·조정기 등 터빈 부분품 제조
&lt;제 외&gt;
·펌프가 결합된 기압식 또는 유압식 엔진 및 모터 제조(291200)
·터보 제트 및 터보 프로펠러 제조(353000,353003)
·전기 모터 제조(311002)</t>
        </is>
      </c>
      <c r="G425" s="90" t="n">
        <v>91.90000000000001</v>
      </c>
      <c r="H425" s="90" t="n">
        <v>0</v>
      </c>
      <c r="I425" s="90" t="n">
        <v>14.7</v>
      </c>
    </row>
    <row r="426" ht="17.25" customHeight="1" s="66">
      <c r="A426" s="65" t="inlineStr">
        <is>
          <t>291200</t>
        </is>
      </c>
      <c r="B426" s="68" t="inlineStr">
        <is>
          <t>제조업</t>
        </is>
      </c>
      <c r="C426" s="68" t="inlineStr">
        <is>
          <t>기타 기계 및 장비 제조업</t>
        </is>
      </c>
      <c r="D426" s="68" t="inlineStr">
        <is>
          <t>유압 기기 제조업</t>
        </is>
      </c>
      <c r="E426" s="68" t="inlineStr">
        <is>
          <t>유압 기기 제조업</t>
        </is>
      </c>
      <c r="F426" s="68" t="inlineStr">
        <is>
          <t>◦유압식 또는 기압식의 펌프, 모터, 실린더 등 유압 구동장치를 구성하는 기기를 제조하는 산업활동을 말한다.
&lt;예 시&gt;
·유압(공기압) 펌프 제조
·유압(공기압) 모터 제조       
·유압(공기압) 실린더 제조
·유압 시스템 제조             
·유압(공기압) 밸브, 호스, 연결구 제조
·공기압 시스템에 사용되는 공기 준비장치 제조
&lt;제 외&gt;
·전기 모터 제조(311002)
·자동차의 자동변속기 제조(343003)
·유압기기를 이용한 토목공사용 장비 제조(292400)</t>
        </is>
      </c>
      <c r="G426" s="90" t="n">
        <v>89.59999999999999</v>
      </c>
      <c r="H426" s="90" t="n">
        <v>0</v>
      </c>
      <c r="I426" s="90" t="n">
        <v>7.9</v>
      </c>
    </row>
    <row r="427" ht="17.25" customHeight="1" s="66">
      <c r="A427" s="65" t="inlineStr">
        <is>
          <t>291201</t>
        </is>
      </c>
      <c r="B427" s="68" t="inlineStr">
        <is>
          <t>제조업</t>
        </is>
      </c>
      <c r="C427" s="68" t="inlineStr">
        <is>
          <t>기타 기계 및 장비 제조업</t>
        </is>
      </c>
      <c r="D427" s="68" t="inlineStr">
        <is>
          <t>펌프 및 압축기 제조업: 탭, 밸브 및 유사 장치 제조 포함</t>
        </is>
      </c>
      <c r="E427" s="68" t="inlineStr">
        <is>
          <t>액체 펌프 제조업</t>
        </is>
      </c>
      <c r="F427" s="68" t="inlineStr">
        <is>
          <t>◦일반 산업용◦공업용 또는 계량용 액체 펌프, 양수기 및 유사 장치를 제조하는 산업활동을 말한다.
&lt;예 시&gt;
·펌프 제조
·회전 펌프 제조
·콘크리트 펌프 제조       
·원심 펌프 제조
·왕복 펌프 제조
·실험실용 펌프 제조      
·급유용 펌프 제조
&lt;제 외&gt;
·유압(공기압) 펌프 제조(291200)
·기체 펌프 제조(291202)</t>
        </is>
      </c>
      <c r="G427" s="90" t="n">
        <v>89.59999999999999</v>
      </c>
      <c r="H427" s="90" t="n">
        <v>0</v>
      </c>
      <c r="I427" s="90" t="n">
        <v>12.2</v>
      </c>
    </row>
    <row r="428" ht="17.25" customHeight="1" s="66">
      <c r="A428" s="65" t="inlineStr">
        <is>
          <t>291202</t>
        </is>
      </c>
      <c r="B428" s="68" t="inlineStr">
        <is>
          <t>제조업</t>
        </is>
      </c>
      <c r="C428" s="68" t="inlineStr">
        <is>
          <t>기타 기계 및 장비 제조업</t>
        </is>
      </c>
      <c r="D428" s="68" t="inlineStr">
        <is>
          <t>펌프 및 압축기 제조업: 탭, 밸브 및 유사 장치 제조 포함</t>
        </is>
      </c>
      <c r="E428" s="68" t="inlineStr">
        <is>
          <t>기체 펌프 및 압축기 제조업</t>
        </is>
      </c>
      <c r="F428" s="68" t="inlineStr">
        <is>
          <t>◦일반 산업용, 공업용 또는 계량용 공기 펌프 및 기타 가스 펌프 장비와 압축기를 제조하는 산업활동을 말한다.
&lt;예 시&gt;
·공기 펌프 제조
·가스 펌프 제조
·기체 압축기 제조       
·진공 펌프 제조
·왕복 펌프 제조(공기용적형)
·회전 펌프 제조(공기용적형)
&lt;제 외&gt;
·유압(공기압) 펌프 제조(291200)
·액체 펌프 제조(291201)</t>
        </is>
      </c>
      <c r="G428" s="90" t="n">
        <v>89.59999999999999</v>
      </c>
      <c r="H428" s="90" t="n">
        <v>0</v>
      </c>
      <c r="I428" s="90" t="n">
        <v>12.2</v>
      </c>
    </row>
    <row r="429" ht="17.25" customHeight="1" s="66">
      <c r="A429" s="65" t="inlineStr">
        <is>
          <t>291300</t>
        </is>
      </c>
      <c r="B429" s="68" t="inlineStr">
        <is>
          <t>제조업</t>
        </is>
      </c>
      <c r="C429" s="68" t="inlineStr">
        <is>
          <t>기타 기계 및 장비 제조업</t>
        </is>
      </c>
      <c r="D429" s="68" t="inlineStr">
        <is>
          <t>베어링, 기어 및 동력 전달장치 제조업</t>
        </is>
      </c>
      <c r="E429" s="68" t="inlineStr">
        <is>
          <t>기어 및 동력전달장치 제조업</t>
        </is>
      </c>
      <c r="F429" s="68" t="inlineStr">
        <is>
          <t>◦항공기용 또는 차량용을 제외한 각종 기계◦장비용 속도 변환기, 동력 전달장치 및 기타 관련 장치를 제조하는 산업활동을 말한다.
&lt;예 시&gt;
·전동축 제조
·변속기 제조
·크랭크 제조       
·플라이 휠 제조
·베어링 하우징 제조
·풀리 제조       
·클러치 제조
·플레인 샤프트 베어링 제조
·기어와 기어링 제조
·샤프트 커플링 제조
·볼 스크루 제조
·링크 체인 제조       
·기어 박스 제조
·발전기용 동력 전달장치
&lt;제 외&gt;
·유압기기 제조(291200)
·볼베어링 또는 롤러베어링 제조(291301)
·전자석 클러치 제조(319002)
·차량 및 항공기의 부분품 성격인 동력 전달장치 제조는 (343003) 또는 (353000)에 각각 분류</t>
        </is>
      </c>
      <c r="G429" s="90" t="n">
        <v>90.7</v>
      </c>
      <c r="H429" s="90" t="n">
        <v>0</v>
      </c>
      <c r="I429" s="90" t="n">
        <v>11.5</v>
      </c>
    </row>
    <row r="430" ht="17.25" customHeight="1" s="66">
      <c r="A430" s="65" t="inlineStr">
        <is>
          <t>291301</t>
        </is>
      </c>
      <c r="B430" s="68" t="inlineStr">
        <is>
          <t>제조업</t>
        </is>
      </c>
      <c r="C430" s="68" t="inlineStr">
        <is>
          <t>기타 기계 및 장비 제조업</t>
        </is>
      </c>
      <c r="D430" s="68" t="inlineStr">
        <is>
          <t>베어링, 기어 및 동력 전달장치 제조업</t>
        </is>
      </c>
      <c r="E430" s="68" t="inlineStr">
        <is>
          <t>구름베어링 제조업</t>
        </is>
      </c>
      <c r="F430" s="68" t="inlineStr">
        <is>
          <t>◦볼베어링, 롤러베어링 등 각종 구름베어링 및 이들의 전용 부분품을 제조하는 산업활동을 말한다.
&lt;예 시&gt;
·볼베어링 제조
·롤러베어링 제조
&lt;제 외&gt;
·베어링 하우징 및 플레인 샤프트 베어링 제조(291300)</t>
        </is>
      </c>
      <c r="G430" s="90" t="n">
        <v>90.7</v>
      </c>
      <c r="H430" s="90" t="n">
        <v>0</v>
      </c>
      <c r="I430" s="90" t="n">
        <v>14.5</v>
      </c>
    </row>
    <row r="431" ht="17.25" customHeight="1" s="66">
      <c r="A431" s="65" t="inlineStr">
        <is>
          <t>291401</t>
        </is>
      </c>
      <c r="B431" s="68" t="inlineStr">
        <is>
          <t>제조업</t>
        </is>
      </c>
      <c r="C431" s="68" t="inlineStr">
        <is>
          <t>기타 기계 및 장비 제조업</t>
        </is>
      </c>
      <c r="D431" s="68" t="inlineStr">
        <is>
          <t>산업용 오븐, 노 및 노용 버너 제조업</t>
        </is>
      </c>
      <c r="E431" s="68" t="inlineStr">
        <is>
          <t>산업용 오븐, 노 및 노용 버너 제조업</t>
        </is>
      </c>
      <c r="F431" s="68" t="inlineStr">
        <is>
          <t>◦광물, 금속 및 기타 물질을 가열◦용해 또는 기타 열처리하는 전기식 또는 비전기식의 공업용 및 이화학용 노와 오븐을 제조하거나 액체, 고체 또는 기체 연료용의 노용 연소기 및 기계식 급탄기, 격자(불판), 재(회) 방출기 및 유사 기기를 제조하는 산업활동을 말한다. 태양열 집열 가열장치 및 건물 장착용 히터를 제조하는 활동을 포함한다.
&lt;예 시&gt;
·폐기물 소각로 제조
·공업용 가열기 제조             
·이화학용 가열기 제조
·노용 연소기 제조         
·기계식 급탄기(탄 공급기) 제조
·연소기가 장착된 산업용 노 및 오븐 제조
·건물 장착용 히터 제조
·태양열 집열 및 가열장치 제조(가정용 포함)
&lt;제 외&gt;
·식품, 음료, 담배 가공용 가열 설비 및 장비 제조(292500)
·가정용 버너 및 난로 제조(293004)
·의료용 또는 실험실용 살균기 제조(331102)</t>
        </is>
      </c>
      <c r="G431" s="90" t="n">
        <v>88.59999999999999</v>
      </c>
      <c r="H431" s="90" t="n">
        <v>0</v>
      </c>
      <c r="I431" s="90" t="n">
        <v>16.8</v>
      </c>
    </row>
    <row r="432" ht="17.25" customHeight="1" s="66">
      <c r="A432" s="65" t="inlineStr">
        <is>
          <t>291501</t>
        </is>
      </c>
      <c r="B432" s="68" t="inlineStr">
        <is>
          <t>제조업</t>
        </is>
      </c>
      <c r="C432" s="68" t="inlineStr">
        <is>
          <t>기타 기계 및 장비 제조업</t>
        </is>
      </c>
      <c r="D432" s="68" t="inlineStr">
        <is>
          <t>산업용 트럭, 승강기 및 물품 취급장비 제조업</t>
        </is>
      </c>
      <c r="E432" s="68" t="inlineStr">
        <is>
          <t>산업용 트럭 및 적재기 제조업</t>
        </is>
      </c>
      <c r="F432" s="68" t="inlineStr">
        <is>
          <t>◦공장, 창고, 부두, 공항 등에서 비교적 단거리간의 각종 화물을 운반 또는 취급하는 비도로 주행용의 기계식 추진 트럭, 트랙터 및 적재기 등을 제조하는 산업활동을 말한다.
&lt;예 시&gt;
·포크 리프트 트럭, 작업 트럭(인양용 또는 하역용 장비 부착 여부 불문) 제조
·철도역의 플랫폼에서 사용하는 트랙터 제조
·단거리 화물 운반 및 취급용 트럭, 철도역 구내용 트랙터 및 부속품 제조
·데릭, 크레인, 스트래들 캐리어 및 크레인이 결합된 작업 트럭 제조
&lt;제 외&gt;
·산업용 트레일러 제조(342000)
·특수 산업용 손수레 및 수동식 운반차량 제조(359202)</t>
        </is>
      </c>
      <c r="G432" s="90" t="n">
        <v>89.2</v>
      </c>
      <c r="H432" s="90" t="n">
        <v>0</v>
      </c>
      <c r="I432" s="90" t="n">
        <v>14.7</v>
      </c>
    </row>
    <row r="433" ht="17.25" customHeight="1" s="66">
      <c r="A433" s="65" t="inlineStr">
        <is>
          <t>291502</t>
        </is>
      </c>
      <c r="B433" s="68" t="inlineStr">
        <is>
          <t>제조업</t>
        </is>
      </c>
      <c r="C433" s="68" t="inlineStr">
        <is>
          <t>기타 기계 및 장비 제조업</t>
        </is>
      </c>
      <c r="D433" s="68" t="inlineStr">
        <is>
          <t>산업용 트럭, 승강기 및 물품 취급장비 제조업</t>
        </is>
      </c>
      <c r="E433" s="68" t="inlineStr">
        <is>
          <t>기타 물품 취급장비 제조업</t>
        </is>
      </c>
      <c r="F433" s="68" t="inlineStr">
        <is>
          <t>◦물품 인양, 하역 및 취급용 기계장비를 제조하는 산업활동으로서 단순식 및 복합식, 고정식, 로터리식 또는 운송장비에 완전 장착되는 이동식의 것을 포함한다.
&lt;예 시&gt;
·호이스트 제조
·타워 크레인, 주행 크레인 제조
·풀리 태클 제조
·캡스턴 제조
·잭 제조
·윈치 제조
·도르래 제조
&lt;제 외&gt;
·스킵 호이스트 제조(291504)</t>
        </is>
      </c>
      <c r="G433" s="90" t="n">
        <v>91.09999999999999</v>
      </c>
      <c r="H433" s="90" t="n">
        <v>0</v>
      </c>
      <c r="I433" s="90" t="n">
        <v>10.3</v>
      </c>
    </row>
    <row r="434" ht="17.25" customHeight="1" s="66">
      <c r="A434" s="65" t="inlineStr">
        <is>
          <t>291503</t>
        </is>
      </c>
      <c r="B434" s="68" t="inlineStr">
        <is>
          <t>제조업</t>
        </is>
      </c>
      <c r="C434" s="68" t="inlineStr">
        <is>
          <t>기타 기계 및 장비 제조업</t>
        </is>
      </c>
      <c r="D434" s="68" t="inlineStr">
        <is>
          <t>산업용 트럭, 승강기 및 물품 취급장비 제조업</t>
        </is>
      </c>
      <c r="E434" s="68" t="inlineStr">
        <is>
          <t>승강기 제조업</t>
        </is>
      </c>
      <c r="F434" s="68" t="inlineStr">
        <is>
          <t>◦공기식 또는 기타 방식으로 연속 작동되는 엘리베이터, 에스컬레이터, 이동식 계단 등 사람이나 물품을 이송시키는 승강기와 기타 유사한 장치를 제조하는 산업활동을 말한다.
&lt;예 시&gt;
·엘리베이터 제조
·에스컬레이터 제조
·이동식 계단 제조
·이동식 보도 제조</t>
        </is>
      </c>
      <c r="G434" s="90" t="n">
        <v>91.09999999999999</v>
      </c>
      <c r="H434" s="90" t="n">
        <v>0</v>
      </c>
      <c r="I434" s="90" t="n">
        <v>10.9</v>
      </c>
    </row>
    <row r="435" ht="17.25" customHeight="1" s="66">
      <c r="A435" s="65" t="inlineStr">
        <is>
          <t>291504</t>
        </is>
      </c>
      <c r="B435" s="68" t="inlineStr">
        <is>
          <t>제조업</t>
        </is>
      </c>
      <c r="C435" s="68" t="inlineStr">
        <is>
          <t>기타 기계 및 장비 제조업</t>
        </is>
      </c>
      <c r="D435" s="68" t="inlineStr">
        <is>
          <t>산업용 트럭, 승강기 및 물품 취급장비 제조업</t>
        </is>
      </c>
      <c r="E435" s="68" t="inlineStr">
        <is>
          <t>컨베이어 장치 제조업</t>
        </is>
      </c>
      <c r="F435" s="68" t="inlineStr">
        <is>
          <t>◦공기식 또는 기타 방식으로 연속 작동되는 컨베이어장치 및 유사 장치를 제조하는 산업활동을 말한다.
&lt;예 시&gt;
·컨베이어 장치 제조
·스킵 호이스트 제조
·건설용 및 스키장용 리프트 제조
·농업용 컨베이어 장치 제조
&lt;제 외&gt;
·광산 지하 작업용 컨베이어 및 엘리베이터 제조(292401)</t>
        </is>
      </c>
      <c r="G435" s="90" t="n">
        <v>91.09999999999999</v>
      </c>
      <c r="H435" s="90" t="n">
        <v>0</v>
      </c>
      <c r="I435" s="90" t="n">
        <v>9.6</v>
      </c>
    </row>
    <row r="436" ht="17.25" customHeight="1" s="66">
      <c r="A436" s="65" t="inlineStr">
        <is>
          <t>291901</t>
        </is>
      </c>
      <c r="B436" s="68" t="inlineStr">
        <is>
          <t>제조업</t>
        </is>
      </c>
      <c r="C436" s="68" t="inlineStr">
        <is>
          <t>기타 기계 및 장비 제조업</t>
        </is>
      </c>
      <c r="D436" s="68" t="inlineStr">
        <is>
          <t>기타 일반 목적용 기계 제조업</t>
        </is>
      </c>
      <c r="E436" s="68" t="inlineStr">
        <is>
          <t>그 외 기타 일반목적용 기계 제조업</t>
        </is>
      </c>
      <c r="F436" s="68" t="inlineStr">
        <is>
          <t>◦정밀 측정용 감량저울을 제외한 가정․상업․산업용의 각종 저울을 제조하는 산업활동을 말한다.
&lt;예 시&gt;
·중량 측정기 제조
·저울 제조(정밀 측정용 감량저울 제외)
·저울 추 및 부분품 제조
&lt;제 외&gt;
·정밀 측정용 감량저울 제조(331207)</t>
        </is>
      </c>
      <c r="G436" s="90" t="n">
        <v>92</v>
      </c>
      <c r="H436" s="90" t="n">
        <v>0</v>
      </c>
      <c r="I436" s="90" t="n">
        <v>9.699999999999999</v>
      </c>
    </row>
    <row r="437" ht="17.25" customHeight="1" s="66">
      <c r="A437" s="65" t="inlineStr">
        <is>
          <t>291902</t>
        </is>
      </c>
      <c r="B437" s="68" t="inlineStr">
        <is>
          <t>제조업</t>
        </is>
      </c>
      <c r="C437" s="68" t="inlineStr">
        <is>
          <t>기타 기계 및 장비 제조업</t>
        </is>
      </c>
      <c r="D437" s="68" t="inlineStr">
        <is>
          <t>냉각, 공기 조화, 여과, 증류 및 가스 발생기 제조업</t>
        </is>
      </c>
      <c r="E437" s="68" t="inlineStr">
        <is>
          <t>산업용 냉장 및 냉동장비 제조업</t>
        </is>
      </c>
      <c r="F437" s="68" t="inlineStr">
        <is>
          <t>◦산업용, 상업용 냉장 및 냉동장비와 기타 유사 장비를 제조하는 산업활동을 말한다.
&lt;예 시&gt;
·냉각 단위 제조
·냉동장비 제조
·냉장고 제조
·냉장장비 제조
·열(히트)펌프 제조
&lt;제 외&gt;
·가정용 냉장고 제조(293001)
·공기조화장치용 열(히트)펌프 제조(291903)</t>
        </is>
      </c>
      <c r="G437" s="90" t="n">
        <v>89.90000000000001</v>
      </c>
      <c r="H437" s="90" t="n">
        <v>0</v>
      </c>
      <c r="I437" s="90" t="n">
        <v>10.6</v>
      </c>
    </row>
    <row r="438" ht="17.25" customHeight="1" s="66">
      <c r="A438" s="65" t="inlineStr">
        <is>
          <t>291903</t>
        </is>
      </c>
      <c r="B438" s="68" t="inlineStr">
        <is>
          <t>제조업</t>
        </is>
      </c>
      <c r="C438" s="68" t="inlineStr">
        <is>
          <t>기타 기계 및 장비 제조업</t>
        </is>
      </c>
      <c r="D438" s="68" t="inlineStr">
        <is>
          <t>냉각, 공기 조화, 여과, 증류 및 가스 발생기 제조업</t>
        </is>
      </c>
      <c r="E438" s="68" t="inlineStr">
        <is>
          <t>가정용 및 산업용 공기 조화장치 제조업, 운송장비용 공기 조화장치 제조업</t>
        </is>
      </c>
      <c r="F438" s="68" t="inlineStr">
        <is>
          <t>◦운송장비용, 가정용, 산업 및 상업용 등 각종 공기 조화 및 조절장치를 제조하는 산업활동을 말한다. 여기에는 공기의 온도(가열 또는 냉각) 및 습도(가습 또는 건조)를 단일 또는 복합적으로 변화시킬 수 있는 것도 포함한다.
&lt;예 시&gt;
·항온 및 항습기 제조
·각종 용도의 에어컨디셔너 제조
·각종 용도의 공기 조절장치 제조
·공기 조절기 제조
&lt;제 외&gt;
·산업용 송풍기 제조(291904)
·액체용(291906) 또는 기체용(291905) 여과기 및 청정기 제조</t>
        </is>
      </c>
      <c r="G438" s="90" t="n">
        <v>89.90000000000001</v>
      </c>
      <c r="H438" s="90" t="n">
        <v>0</v>
      </c>
      <c r="I438" s="90" t="n">
        <v>5.9</v>
      </c>
    </row>
    <row r="439" ht="17.25" customHeight="1" s="66">
      <c r="A439" s="65" t="inlineStr">
        <is>
          <t>291904</t>
        </is>
      </c>
      <c r="B439" s="68" t="inlineStr">
        <is>
          <t>제조업</t>
        </is>
      </c>
      <c r="C439" s="68" t="inlineStr">
        <is>
          <t>기타 기계 및 장비 제조업</t>
        </is>
      </c>
      <c r="D439" s="68" t="inlineStr">
        <is>
          <t>냉각, 공기 조화, 여과, 증류 및 가스 발생기 제조업</t>
        </is>
      </c>
      <c r="E439" s="68" t="inlineStr">
        <is>
          <t>산업용 송풍기 및 배기장치 제조업</t>
        </is>
      </c>
      <c r="F439" s="68" t="inlineStr">
        <is>
          <t>◦산업 및 상업용 송풍, 환풍 및 배기장치를 제조하는 산업활동을 말한다.
&lt;예 시&gt;
·배기장치 제조
·환풍장치 제조
&lt;제 외&gt;
·액체용(291906) 또는 기체용(291905) 여과기 및 청정기 제조
·가정 및 사무실용 선풍기 제조(293002)
·산업용 원심분리기 제조(291911)</t>
        </is>
      </c>
      <c r="G439" s="90" t="n">
        <v>89.90000000000001</v>
      </c>
      <c r="H439" s="90" t="n">
        <v>0</v>
      </c>
      <c r="I439" s="90" t="n">
        <v>8.300000000000001</v>
      </c>
    </row>
    <row r="440" ht="17.25" customHeight="1" s="66">
      <c r="A440" s="65" t="inlineStr">
        <is>
          <t>291905</t>
        </is>
      </c>
      <c r="B440" s="68" t="inlineStr">
        <is>
          <t>제조업</t>
        </is>
      </c>
      <c r="C440" s="68" t="inlineStr">
        <is>
          <t>기타 기계 및 장비 제조업</t>
        </is>
      </c>
      <c r="D440" s="68" t="inlineStr">
        <is>
          <t>냉각, 공기 조화, 여과, 증류 및 가스 발생기 제조업</t>
        </is>
      </c>
      <c r="E440" s="68" t="inlineStr">
        <is>
          <t>기체 여과기 제조업</t>
        </is>
      </c>
      <c r="F440" s="68" t="inlineStr">
        <is>
          <t>◦가정, 산업 및 상업용의 공기, 가스 또는 기타 기체 여과기 및 청정기를 제조하는 산업활동을 말한다.
&lt;예 시&gt;
·여과기 제조(공기, 기체용)
·공기 청정기 제조
·매연 여과기 제조
·집진기 제조
·사이크론, 가스세정기, 흡수탑
&lt;제 외&gt;
·유류 및 기타 액체 여과기 제조(291906)</t>
        </is>
      </c>
      <c r="G440" s="90" t="n">
        <v>89.90000000000001</v>
      </c>
      <c r="H440" s="90" t="n">
        <v>0</v>
      </c>
      <c r="I440" s="90" t="n">
        <v>8.300000000000001</v>
      </c>
    </row>
    <row r="441" ht="17.25" customHeight="1" s="66">
      <c r="A441" s="65" t="inlineStr">
        <is>
          <t>291906</t>
        </is>
      </c>
      <c r="B441" s="68" t="inlineStr">
        <is>
          <t>제조업</t>
        </is>
      </c>
      <c r="C441" s="68" t="inlineStr">
        <is>
          <t>기타 기계 및 장비 제조업</t>
        </is>
      </c>
      <c r="D441" s="68" t="inlineStr">
        <is>
          <t>냉각, 공기 조화, 여과, 증류 및 가스 발생기 제조업</t>
        </is>
      </c>
      <c r="E441" s="68" t="inlineStr">
        <is>
          <t>액체 여과기 제조업</t>
        </is>
      </c>
      <c r="F441" s="68" t="inlineStr">
        <is>
          <t>◦가정, 산업 및 상업용의 액체 여과기 및 청정기를 제조하는 산업활동을 말한다.
&lt;예 시&gt;
·청정기 제조(액체용)
·유류 여과기 제조
·정수기 제조         
·액체 연료 여과기 제조
·폐수 처리장치 제조
·식수 정수장치 제조
·가정용수 필터, 내연기관용 및 공작기계용 오일 필터, 보일러 용수 필터 등 제조
&lt;제 외&gt;
·기체 여과기 제조(291905)
·전기 이온 정수기 제조(319002)
·여과포(직물제) 제조(172902)</t>
        </is>
      </c>
      <c r="G441" s="90" t="n">
        <v>89.90000000000001</v>
      </c>
      <c r="H441" s="90" t="n">
        <v>0</v>
      </c>
      <c r="I441" s="90" t="n">
        <v>5.9</v>
      </c>
    </row>
    <row r="442" ht="17.25" customHeight="1" s="66">
      <c r="A442" s="65" t="inlineStr">
        <is>
          <t>291907</t>
        </is>
      </c>
      <c r="B442" s="68" t="inlineStr">
        <is>
          <t>제조업</t>
        </is>
      </c>
      <c r="C442" s="68" t="inlineStr">
        <is>
          <t>기타 기계 및 장비 제조업</t>
        </is>
      </c>
      <c r="D442" s="68" t="inlineStr">
        <is>
          <t>냉각, 공기 조화, 여과, 증류 및 가스 발생기 제조업</t>
        </is>
      </c>
      <c r="E442" s="68" t="inlineStr">
        <is>
          <t>증류기, 열 교환기 및 가스 발생기 제조업</t>
        </is>
      </c>
      <c r="F442" s="68" t="inlineStr">
        <is>
          <t>◦가스 발생기, 열 교환장치, 기체 또는 공기 액화용 기기, 고체 또는 액체 물질의 증류기, 건류기, 정류기를 제조하는 산업활동을 말한다.
&lt;예 시&gt;
·가스 발생기 제조
·열 교환장치 제조
·증류기 제조
·기체 액화용 기기 제조
·정류기 제조
·건류기 제조
·액체 정류기 제조
·공기 액화용 기기 제조
·온도 변화에 의한 방법으로 재료를 처리하는 기기, 설비 또는 장치(전기 가열식 및 이화학용의 것을 포함, 가정용 제외) 제조</t>
        </is>
      </c>
      <c r="G442" s="90" t="n">
        <v>89.90000000000001</v>
      </c>
      <c r="H442" s="90" t="n">
        <v>0</v>
      </c>
      <c r="I442" s="90" t="n">
        <v>11.8</v>
      </c>
    </row>
    <row r="443" ht="17.25" customHeight="1" s="66">
      <c r="A443" s="65" t="inlineStr">
        <is>
          <t>291908</t>
        </is>
      </c>
      <c r="B443" s="68" t="inlineStr">
        <is>
          <t>제조업</t>
        </is>
      </c>
      <c r="C443" s="68" t="inlineStr">
        <is>
          <t>기타 기계 및 장비 제조업</t>
        </is>
      </c>
      <c r="D443" s="68" t="inlineStr">
        <is>
          <t>기타 일반 목적용 기계 제조업</t>
        </is>
      </c>
      <c r="E443" s="68" t="inlineStr">
        <is>
          <t>용기 세척, 포장 및 충전기 제조업</t>
        </is>
      </c>
      <c r="F443" s="68" t="inlineStr">
        <is>
          <t>◦용기의 세척 및 건조용 기계와 병, 깡통, 상자, 자루, 기타 용기에 음료용 탄산가스를 포함한 각종 물질을 주입, 충전, 봉합, 캡슐 포장 또는 상표를 부착하는 각종 포장용 기계를 제조하는 산업활동을 말한다.
&lt;예 시&gt;
·가스 충전기 제조
·음료용 탄산가스 주입기 제조
·포장용 봉합기 제조
&lt;제 외&gt;
·가정용 접시 세척기 제조(293001)
·산업용 접시 세척기 제조(291911)</t>
        </is>
      </c>
      <c r="G443" s="90" t="n">
        <v>89.90000000000001</v>
      </c>
      <c r="H443" s="90" t="n">
        <v>0</v>
      </c>
      <c r="I443" s="90" t="n">
        <v>11.8</v>
      </c>
    </row>
    <row r="444" ht="17.25" customHeight="1" s="66">
      <c r="A444" s="65" t="inlineStr">
        <is>
          <t>291909</t>
        </is>
      </c>
      <c r="B444" s="68" t="inlineStr">
        <is>
          <t>제조업</t>
        </is>
      </c>
      <c r="C444" s="68" t="inlineStr">
        <is>
          <t>기타 기계 및 장비 제조업</t>
        </is>
      </c>
      <c r="D444" s="68" t="inlineStr">
        <is>
          <t>기타 일반 목적용 기계 제조업</t>
        </is>
      </c>
      <c r="E444" s="68" t="inlineStr">
        <is>
          <t>분사기 및 소화기 제조업</t>
        </is>
      </c>
      <c r="F444" s="68" t="inlineStr">
        <is>
          <t>◦농업용 이외의 액체, 증기, 분말의 분사◦살포 및 분무용 기기, 증기 또는 모래 분사기 및 기타 이와 유사한 제트 분사기 등을 제조하는 산업활동을 말한다.
&lt;예 시&gt;
·소화용 분사기 제조
·분무용 스프레이 건 제조
·증기 또는 모래 분사기 제조
·분사식 세차기 제조
·액체 분무용 기기 제조
·분말 분사용 기기 제조
&lt;제 외&gt;
·농업용 분무기 제조(292100)
·제트 수압 절단기(292203)</t>
        </is>
      </c>
      <c r="G444" s="90" t="n">
        <v>89.90000000000001</v>
      </c>
      <c r="H444" s="90" t="n">
        <v>0</v>
      </c>
      <c r="I444" s="90" t="n">
        <v>11.8</v>
      </c>
    </row>
    <row r="445" ht="17.25" customHeight="1" s="66">
      <c r="A445" s="65" t="inlineStr">
        <is>
          <t>291911</t>
        </is>
      </c>
      <c r="B445" s="68" t="inlineStr">
        <is>
          <t>제조업</t>
        </is>
      </c>
      <c r="C445" s="68" t="inlineStr">
        <is>
          <t>기타 기계 및 장비 제조업</t>
        </is>
      </c>
      <c r="D445" s="68" t="inlineStr">
        <is>
          <t>기타 일반 목적용 기계 제조업</t>
        </is>
      </c>
      <c r="E445" s="68" t="inlineStr">
        <is>
          <t>그 외 기타 일반 목적용 기계 제조업</t>
        </is>
      </c>
      <c r="F445" s="68" t="inlineStr">
        <is>
          <t>◦달리 분류되지 않은 일반 목적용 기계 제조업으로서 비전기식 용접기, 압연기, 압축 롤러, 자동 판매기 및 화폐 교환기 등을 제조하는 산업활동을 말한다. 가스 또는 기타 방식의 납땜기, 용접기, 표면 열처리용 기기 등을 제조하는 산업활동을 포함한다. 개스킷 및 유사 조인트 등은 금속 외의 재료와 결합한 금속판제의 것 또는 금속을 두 개 이상 적층한 것만 포함한다.
&lt;예 시&gt;
·가스킷 제조(적층 및 조립)
·롤러 제조(압착용)
·캘린더기(압축 롤러) 제조
·기계 밀봉(mechanical seal) 제조  
·배소장치 제조
·직물접착용 압연 기기
·열식 살균장치 제조
·원심 분리기 제조(산업용)
·원심 청정기 제조(산업용)
·산업용 접시 세척기 제조
·비전기식 용접기 제조
·가스 자동절단기 제조
·납땜용 인두와 건 제조
·표면 열처리용 기기 제조
·자동 판매기 제조
·화폐 교환기 제조
&lt;제 외&gt;
·크림 분리기 및 식품 가공용 열처리장치 제조(292500)
·산업용 원심 의류탈수기 제조(292601)
·전기식 용접기 제조(319002)</t>
        </is>
      </c>
      <c r="G445" s="90" t="n">
        <v>89.90000000000001</v>
      </c>
      <c r="H445" s="90" t="n">
        <v>0</v>
      </c>
      <c r="I445" s="90" t="n">
        <v>10.9</v>
      </c>
    </row>
    <row r="446" ht="17.25" customHeight="1" s="66">
      <c r="A446" s="65" t="inlineStr">
        <is>
          <t>292100</t>
        </is>
      </c>
      <c r="B446" s="68" t="inlineStr">
        <is>
          <t>제조업</t>
        </is>
      </c>
      <c r="C446" s="68" t="inlineStr">
        <is>
          <t>기타 기계 및 장비 제조업</t>
        </is>
      </c>
      <c r="D446" s="68" t="inlineStr">
        <is>
          <t>농업 및 임업용 기계 제조업</t>
        </is>
      </c>
      <c r="E446" s="68" t="inlineStr">
        <is>
          <t>농업 및 임업용 기계 제조업</t>
        </is>
      </c>
      <c r="F446" s="68" t="inlineStr">
        <is>
          <t>◦농◦임◦축산물의 생산 및 출하 준비 과정에 사용되는 기계◦장비를 제조하는 산업활동으로서 농업용 경작기, 파종기, 이앙기, 수확기 등의 농업용 기계, 축산용 기계, 임업용 기계, 원예용 기계, 정원용 기계를 제조하는 활동을 포함한다.
&lt;예 시&gt;
·경운기 및 이앙기 제조
·콤바인 및 탈곡기 제조
·농업용 분무기 제조
·잔디 깎는 기계 제조
·착유기 제조
·선별기 및 세척기 제조(농산물용)
·부화기 제조
·농산물용 건조기 제조
·양봉용 기계 제조
·농업용 관배수 기기 제조
·농업용 트레일러 제조
·농업용 트랙터 제조
&lt;제 외&gt;
·농업, 원예, 임업용 수공구 제조(289301,289306)
·산업용 트럭 및 플랫폼에서 사용되는 트랙터 제조(291501)
·농장용 컨베이어 제조(291504)
·건설 및 광산용 트랙터 제조(292400)
·곡물 정미기, 제분기 등 식품 가공용 기계 제조(292500)
·크림 분리기 제조(292500)
·도로 주행용 세미 트레일러 트랙터 제조(341001)</t>
        </is>
      </c>
      <c r="G446" s="90" t="n">
        <v>92.8</v>
      </c>
      <c r="H446" s="90" t="n">
        <v>0</v>
      </c>
      <c r="I446" s="90" t="n">
        <v>9.1</v>
      </c>
    </row>
    <row r="447" ht="17.25" customHeight="1" s="66">
      <c r="A447" s="65" t="inlineStr">
        <is>
          <t>292201</t>
        </is>
      </c>
      <c r="B447" s="68" t="inlineStr">
        <is>
          <t>제조업</t>
        </is>
      </c>
      <c r="C447" s="68" t="inlineStr">
        <is>
          <t>기타 기계 및 장비 제조업</t>
        </is>
      </c>
      <c r="D447" s="68" t="inlineStr">
        <is>
          <t>기타 일반 목적용 기계 제조업</t>
        </is>
      </c>
      <c r="E447" s="68" t="inlineStr">
        <is>
          <t>동력식 수지 공구 제조업</t>
        </is>
      </c>
      <c r="F447" s="68" t="inlineStr">
        <is>
          <t>◦다양한 목적으로 사용되는 각종 수지식 동력공구를 제조하는 산업활동을 말한다. 이러한 도구는 통상 압축 공기 모터, 내연기관 모터, 자장 전기 모터 및 기타 형의 모터를 부착하고 있다.
&lt;예 시&gt;
·착암기 제조
·전기 그라인더 제조
·수지식 전동공구 제조       
·수지식 동력 구동공구 제조
·동력식 드릴 제조
·동력식 나사용 드라이버 제조      
·대패(모터 자장) 제조
·전기 톱 제조
·동력식 임팩트 렌치 제조       
·정타기(모터 자장) 제조
·체인 톱(비전기 모터식) 제조
&lt;제 외&gt;
·비동력 수공구 제조(289301,289306)</t>
        </is>
      </c>
      <c r="G447" s="90" t="n">
        <v>90.09999999999999</v>
      </c>
      <c r="H447" s="90" t="n">
        <v>0</v>
      </c>
      <c r="I447" s="90" t="n">
        <v>10.7</v>
      </c>
    </row>
    <row r="448" ht="17.25" customHeight="1" s="66">
      <c r="A448" s="65" t="inlineStr">
        <is>
          <t>292202</t>
        </is>
      </c>
      <c r="B448" s="68" t="inlineStr">
        <is>
          <t>제조업</t>
        </is>
      </c>
      <c r="C448" s="68" t="inlineStr">
        <is>
          <t>기타 기계 및 장비 제조업</t>
        </is>
      </c>
      <c r="D448" s="68" t="inlineStr">
        <is>
          <t>가공 공작기계 제조업</t>
        </is>
      </c>
      <c r="E448" s="68" t="inlineStr">
        <is>
          <t>금속 절삭기계 제조업</t>
        </is>
      </c>
      <c r="F448" s="68" t="inlineStr">
        <is>
          <t>◦금속 가공용 머시닝센터 및 고정◦이동 가공물 복합 공작기계(트랜스퍼 머신)를 포함하여 금속을 수직◦수평 및 원주형으로 분할◦절단◦절삭◦천공◦연마하여 필요한 형태의 제품을 만드는 금속 절삭가공 기계를 제조하는 산업활동을 말한다. 이러한 기계에 장착하는 호환성 공구 등의 제조는 원칙적으로 여기에 포함되지 않는다.
&lt;예 시&gt;
·선반 제조
·머시닝센터 제조(금속 가공용)
·연삭기 및 평삭기 제조
·밀링 머신 제조
·호닝기 제조
·탭핑용 공작기계 제조
&lt;제 외&gt;
·호환성 공구 제조(289303)
·주형 및 금형 제조(292903)
·전자 응용 금속 절삭기계 제조(292203)
·동력식 수지공구 제조(292201)</t>
        </is>
      </c>
      <c r="G448" s="90" t="n">
        <v>89.8</v>
      </c>
      <c r="H448" s="90" t="n">
        <v>0</v>
      </c>
      <c r="I448" s="90" t="n">
        <v>9.9</v>
      </c>
    </row>
    <row r="449" ht="17.25" customHeight="1" s="66">
      <c r="A449" s="65" t="inlineStr">
        <is>
          <t>292203</t>
        </is>
      </c>
      <c r="B449" s="68" t="inlineStr">
        <is>
          <t>제조업</t>
        </is>
      </c>
      <c r="C449" s="68" t="inlineStr">
        <is>
          <t>기타 기계 및 장비 제조업</t>
        </is>
      </c>
      <c r="D449" s="68" t="inlineStr">
        <is>
          <t>가공 공작기계 제조업</t>
        </is>
      </c>
      <c r="E449" s="68" t="inlineStr">
        <is>
          <t>전자 응용 절삭기계 제조업</t>
        </is>
      </c>
      <c r="F449" s="68" t="inlineStr">
        <is>
          <t>◦레이저 및 기타 광선과 광자 빔, 초음파, 방전, 전기 화학, 전자 빔, 이온 빔, 플라스마 아크 등의 방식에 의하여 각종 재료(금속 또는 비금속재 불문)를 재단 또는 표면 절삭하는 일반 절삭기계를 제조하는 산업활동을 말한다. 수압 또는 수압과 연마제 방식의 워터 제트 절단기도 포함한다. 특정 재료의 절삭용으로만 사용될 수 있는 기계◦장비 제조는 제외한다.
&lt;예 시&gt;
·레이저 응용 절삭기계 제조
·광선 응용 절삭기계 제조       
·전자빔 응용 절삭기계 제조
·이온빔 응용 절삭기계 제조       
·워터 제트 절단기 제조
&lt;제 외&gt;
·다기능을 갖고 있는 산업용 로봇 제조(292901)</t>
        </is>
      </c>
      <c r="G449" s="90" t="n">
        <v>91.90000000000001</v>
      </c>
      <c r="H449" s="90" t="n">
        <v>0</v>
      </c>
      <c r="I449" s="90" t="n">
        <v>11.9</v>
      </c>
    </row>
    <row r="450" ht="17.25" customHeight="1" s="66">
      <c r="A450" s="65" t="inlineStr">
        <is>
          <t>292204</t>
        </is>
      </c>
      <c r="B450" s="68" t="inlineStr">
        <is>
          <t>제조업</t>
        </is>
      </c>
      <c r="C450" s="68" t="inlineStr">
        <is>
          <t>기타 기계 및 장비 제조업</t>
        </is>
      </c>
      <c r="D450" s="68" t="inlineStr">
        <is>
          <t>가공 공작기계 제조업</t>
        </is>
      </c>
      <c r="E450" s="68" t="inlineStr">
        <is>
          <t>기타 가공 공작기계 제조업</t>
        </is>
      </c>
      <c r="F450" s="68" t="inlineStr">
        <is>
          <t>◦목재, 석재, 도자기, 콘크리트, 냉간 유리 및 기타 유사한 광물성 재료, 뼈, 경화 고무, 경화 플라스틱 및 이와 유사한 경질 물질의 절삭가공 공작기계를 제조하는 산업활동과 각종 공작기계 사용과 관련한 홀더, 분할대, 공구잡이 등을 제조하는 산업활동을 포함한다. 이러한 기계는 통상적으로 동력 작동식, 수동식 또는 발 작동식의 것을 포함한다.
&lt;예 시&gt;
·광물성 재료 가공기계 제조
·파티클보드 제조용 프레스기 제조       
·공작물 조립기 제조
·파이버보드 제조용 프레스기 제조       
·콘크리트 가공기계 제조
·코르크 가공기계 제조
·공구홀더 제조
·분할대 제조       
·자동개폐식 다이헤드 제조
·가공 홀더 제조
·툴홀더 제조
·다이 및 다이 세트 제조       
·코일 가공기 제조
·철선 가공기(인발기 제외) 제조
·공작기계용 특수 부착물 제조
&lt;제 외&gt;
·동력식 수지공구 제조(292201)       
·열간 유리, 도자기, 고무 및 플라스틱 성형기계 제조(292906)
·주형 및 금형 제조(292903)
·전선 피복 가공기 제조(292907)</t>
        </is>
      </c>
      <c r="G450" s="90" t="n">
        <v>89.8</v>
      </c>
      <c r="H450" s="90" t="n">
        <v>0</v>
      </c>
      <c r="I450" s="90" t="n">
        <v>11.8</v>
      </c>
    </row>
    <row r="451" ht="17.25" customHeight="1" s="66">
      <c r="A451" s="65" t="inlineStr">
        <is>
          <t>292205</t>
        </is>
      </c>
      <c r="B451" s="68" t="inlineStr">
        <is>
          <t>제조업</t>
        </is>
      </c>
      <c r="C451" s="68" t="inlineStr">
        <is>
          <t>기타 기계 및 장비 제조업</t>
        </is>
      </c>
      <c r="D451" s="68" t="inlineStr">
        <is>
          <t>가공 공작기계 제조업</t>
        </is>
      </c>
      <c r="E451" s="68" t="inlineStr">
        <is>
          <t>디지털 적층 성형기계 제조업</t>
        </is>
      </c>
      <c r="F451" s="68" t="inlineStr">
        <is>
          <t>◦3차원 디지털 설계도에 따라 금속, 플라스틱제 등의 액체, 가루 분말, 필라멘트사, 박판 등을 재료로 한층 씩 쌓아올리는 적층방식의 성형기계(3D 프린터)를 제조하는 산업활동을 말한다.
&lt;예 시&gt;
·쾌속 조형장비 제조
·적층 제조장비 제조
·삼차원(3D) 조형기 제조                
·삼차원 프린터 제조
·디지털 제어 적층 조형기 제조</t>
        </is>
      </c>
      <c r="G451" s="90" t="n">
        <v>91.90000000000001</v>
      </c>
      <c r="H451" s="90" t="n">
        <v>0</v>
      </c>
      <c r="I451" s="90" t="n">
        <v>9.300000000000001</v>
      </c>
    </row>
    <row r="452" ht="17.25" customHeight="1" s="66">
      <c r="A452" s="65" t="inlineStr">
        <is>
          <t>292206</t>
        </is>
      </c>
      <c r="B452" s="68" t="inlineStr">
        <is>
          <t>제조업</t>
        </is>
      </c>
      <c r="C452" s="68" t="inlineStr">
        <is>
          <t>기타 기계 및 장비 제조업</t>
        </is>
      </c>
      <c r="D452" s="68" t="inlineStr">
        <is>
          <t>가공 공작기계 제조업</t>
        </is>
      </c>
      <c r="E452" s="68" t="inlineStr">
        <is>
          <t>금속 성형기계 제조업</t>
        </is>
      </c>
      <c r="F452" s="68" t="inlineStr">
        <is>
          <t>◦금형 및 기타 장치를 장착하여 금속 물질을 단조, 압형, 압축, 굽힘, 접음, 회전 등의 방식을 통하여 금속 물질을 특정 형태로 성형하는 기계를 제조하는 산업활동을 말한다. 이러한 기계에 장착하는 금형 등의 제조는 원칙적으로 여기에 포함되지 않는다.
&lt;예 시&gt;
·금속선 인발 및 가공기 제조
·철판 절곡기 제조
·금속 단조기(스탬핑기) 제조 
·다이 스탬핑기 제조
·금속 절곡기 제조
·펀칭기 제조       
·프레스기 제조
·에어 해머 제조
·전단기 제조       
·철망 제조기 제조
&lt;제 외&gt;
·호환성공구 제조(289303)
·주형 및 금형 제조(292903)
·전자 응용 금속 절삭기계 제조(292203)
·동력식 수지공구 제조(292201)</t>
        </is>
      </c>
      <c r="G452" s="90" t="n">
        <v>91.90000000000001</v>
      </c>
      <c r="H452" s="90" t="n">
        <v>0</v>
      </c>
      <c r="I452" s="90" t="n">
        <v>10.9</v>
      </c>
    </row>
    <row r="453" ht="17.25" customHeight="1" s="66">
      <c r="A453" s="65" t="inlineStr">
        <is>
          <t>292300</t>
        </is>
      </c>
      <c r="B453" s="68" t="inlineStr">
        <is>
          <t>제조업</t>
        </is>
      </c>
      <c r="C453" s="68" t="inlineStr">
        <is>
          <t>기타 기계 및 장비 제조업</t>
        </is>
      </c>
      <c r="D453" s="68" t="inlineStr">
        <is>
          <t>금속 주조 및 기타 야금용 기계 제조업</t>
        </is>
      </c>
      <c r="E453" s="68" t="inlineStr">
        <is>
          <t>금속 주조 및 기타 야금용 기계 제조업</t>
        </is>
      </c>
      <c r="F453" s="68" t="inlineStr">
        <is>
          <t>◦금속을 용융 처리하거나 용융 가열된 금속을 가공하는 기계장비, 금속 주조기, 금속 압연기, 압연기용 롤 및 기타 야금용 기계를 제조하는 산업활동을 말한다.
&lt;예 시&gt;
·금속 전기로 제조
·금속 냉간 및 열간 압연기 제조       
·금속 압력 주조기 제조
·금속 주괴(잉곳)용 주형과 레이들 제조       
·금속 다이케스팅기 제조
·금속 압연기용 롤러 제조
&lt;제 외&gt;
·바, 튜브, 프로파일, 철선 등을 압출, 인발하는 인발기 제조(292206)
·주조용 금형 및 주형(잉곳용 주형 및 주형기 제외) 제조(292203)
·금속 또는 유리용 이외의 압연기 제조(291911)</t>
        </is>
      </c>
      <c r="G453" s="90" t="n">
        <v>92</v>
      </c>
      <c r="H453" s="90" t="n">
        <v>0</v>
      </c>
      <c r="I453" s="90" t="n">
        <v>10.6</v>
      </c>
    </row>
    <row r="454" ht="17.25" customHeight="1" s="66">
      <c r="A454" s="65" t="inlineStr">
        <is>
          <t>292400</t>
        </is>
      </c>
      <c r="B454" s="68" t="inlineStr">
        <is>
          <t>제조업</t>
        </is>
      </c>
      <c r="C454" s="68" t="inlineStr">
        <is>
          <t>기타 기계 및 장비 제조업</t>
        </is>
      </c>
      <c r="D454" s="68" t="inlineStr">
        <is>
          <t>건설 및 광업용 기계장비 제조업</t>
        </is>
      </c>
      <c r="E454" s="68" t="inlineStr">
        <is>
          <t>건설 및 채광용 기계장비 제조업</t>
        </is>
      </c>
      <c r="F454" s="68" t="inlineStr">
        <is>
          <t>◦건설 또는 광업용의 굴착, 채굴 및 정지 등의 목적으로 사용하는 각종 토목공사용 기계장비 및 유사 기기를 제조하는 산업활동을 말한다.
&lt;예 시&gt;
·항타기, 항발기 제조
·불도저와 앵글도저 제조
·굴삭기 제조       
·시추기 제조
·탬핑머신 제조(토목공사용)
·기계식 삽 제조       
·그레이더와 레벨러 제조
·무한궤도식 트랙터 제조
·셔블 로우더 제조       
·광석 채굴기 제조
·스크레이퍼 제조(토목공사용)   
·콘크리트 및 모르타르 믹서기 제조
·광산 등에서 사용하기 위해 특수 제작된 비도로 주행용 덤프 트럭 제조
&lt;제 외&gt;
·콘크리트 믹서 운반용 차량(341001)
·도로주행용 일반 덤프 트럭(341001)</t>
        </is>
      </c>
      <c r="G454" s="90" t="n">
        <v>90.09999999999999</v>
      </c>
      <c r="H454" s="90" t="n">
        <v>0</v>
      </c>
      <c r="I454" s="90" t="n">
        <v>11</v>
      </c>
    </row>
    <row r="455" ht="17.25" customHeight="1" s="66">
      <c r="A455" s="65" t="inlineStr">
        <is>
          <t>292401</t>
        </is>
      </c>
      <c r="B455" s="68" t="inlineStr">
        <is>
          <t>제조업</t>
        </is>
      </c>
      <c r="C455" s="68" t="inlineStr">
        <is>
          <t>기타 기계 및 장비 제조업</t>
        </is>
      </c>
      <c r="D455" s="68" t="inlineStr">
        <is>
          <t>건설 및 광업용 기계장비 제조업</t>
        </is>
      </c>
      <c r="E455" s="68" t="inlineStr">
        <is>
          <t>광물 처리 및 취급장비 제조업</t>
        </is>
      </c>
      <c r="F455" s="68" t="inlineStr">
        <is>
          <t>◦지하 작업용 연속 작동식 물품 취급장비, 광물 재료의 처리, 혼합, 성형용 기계를 제조하는 산업활동을 말한다.
&lt;예 시&gt;
·광물 선별기 제조
·광물 세척기 제조
·광물 분리기 제조       
·광물 파쇄기 제조
·광물 성형기 제조
·광물 반죽기 제조       
·컨베이어 제조(지하 작업용)
·엘리베이터 제조(지하 작업용)
&lt;제 외&gt;
·석재 및 요업제품 절삭 가공기계 제조(292204)</t>
        </is>
      </c>
      <c r="G455" s="90" t="n">
        <v>90.09999999999999</v>
      </c>
      <c r="H455" s="90" t="n">
        <v>0</v>
      </c>
      <c r="I455" s="90" t="n">
        <v>13.5</v>
      </c>
    </row>
    <row r="456" ht="17.25" customHeight="1" s="66">
      <c r="A456" s="65" t="inlineStr">
        <is>
          <t>292500</t>
        </is>
      </c>
      <c r="B456" s="68" t="inlineStr">
        <is>
          <t>제조업</t>
        </is>
      </c>
      <c r="C456" s="68" t="inlineStr">
        <is>
          <t>기타 기계 및 장비 제조업</t>
        </is>
      </c>
      <c r="D456" s="68" t="inlineStr">
        <is>
          <t>음ㆍ식료품 및 담배 가공기계 제조업</t>
        </is>
      </c>
      <c r="E456" s="68" t="inlineStr">
        <is>
          <t>음ㆍ식료품 및 담배 가공기계 제조업</t>
        </is>
      </c>
      <c r="F456" s="68" t="inlineStr">
        <is>
          <t>◦농업용 및 가정용을 제외한 우유, 곡물, 육지고기, 물고기, 과실 및 채소류 가공기계와 과자, 제빵, 음료 및 담배 제조용 기계 등을 제조하는 산업활동을 말한다.
&lt;예 시&gt; 
·낙농품 가공처리기 제조
·크림 분리기 제조
·곡물 선별기 제조
·제분용 기계 제조
·곡물 세척기 제조
·양조용 기계 제조
·식품용 가열 및 냉각기 제조
·유지 추출기계 제조
·건조기 제조
&lt;제 외&gt;
·가열장치 또는 기계장치가 부착되지 않은 통, 탱크 제조(281204)
·포장용 또는 병 세척용 기계 제조(291908)
·농업용 조란, 과실 세척기, 분류기, 선별기 및 기타 기계 제조(292100)
·가정용 식품 가공기계 제조(293001,293004)</t>
        </is>
      </c>
      <c r="G456" s="90" t="n">
        <v>89.90000000000001</v>
      </c>
      <c r="H456" s="90" t="n">
        <v>0</v>
      </c>
      <c r="I456" s="90" t="n">
        <v>9.699999999999999</v>
      </c>
    </row>
    <row r="457" ht="17.25" customHeight="1" s="66">
      <c r="A457" s="65" t="inlineStr">
        <is>
          <t>292600</t>
        </is>
      </c>
      <c r="B457" s="68" t="inlineStr">
        <is>
          <t>제조업</t>
        </is>
      </c>
      <c r="C457" s="68" t="inlineStr">
        <is>
          <t>기타 기계 및 장비 제조업</t>
        </is>
      </c>
      <c r="D457" s="68" t="inlineStr">
        <is>
          <t>섬유, 의복 및 가죽 가공기계 제조업</t>
        </is>
      </c>
      <c r="E457" s="68" t="inlineStr">
        <is>
          <t>기타 섬유, 의복 및 가죽 가공기계 제조업</t>
        </is>
      </c>
      <c r="F457" s="68" t="inlineStr">
        <is>
          <t>◦방직용 섬유의 방적 준비, 직조 및 편조 등 각종 섬유◦의복 가공기계 및 가죽 제품 생산용 기계를 제조하는 산업활동을 말한다. 가정용의 것을 포함한 각종 용도의 재봉기, 자수기를 제조하는 산업활동을 포함한다.
&lt;예 시&gt;
·재봉기 제조
·재봉기용 바늘 및 부분품 제조
·자수기 제조
·자수기용 바늘 및 부분품 제조
·방적 준비기 제조
·편조기 및 직조기 제조
·재단기 제조
·방적기 및 연사기 제조
·권사기 제조, 섬유용
·사(실) 가공기 제조
&lt;제 외&gt;
·수침 바늘 제조(281101)
·제책용 재봉기 제조(292902)</t>
        </is>
      </c>
      <c r="G457" s="90" t="n">
        <v>91.40000000000001</v>
      </c>
      <c r="H457" s="90" t="n">
        <v>0</v>
      </c>
      <c r="I457" s="90" t="n">
        <v>9.1</v>
      </c>
    </row>
    <row r="458" ht="17.25" customHeight="1" s="66">
      <c r="A458" s="65" t="inlineStr">
        <is>
          <t>292601</t>
        </is>
      </c>
      <c r="B458" s="68" t="inlineStr">
        <is>
          <t>제조업</t>
        </is>
      </c>
      <c r="C458" s="68" t="inlineStr">
        <is>
          <t>기타 기계 및 장비 제조업</t>
        </is>
      </c>
      <c r="D458" s="68" t="inlineStr">
        <is>
          <t>섬유, 의복 및 가죽 가공기계 제조업</t>
        </is>
      </c>
      <c r="E458" s="68" t="inlineStr">
        <is>
          <t>산업용 섬유 세척, 염색, 정리 및 가공 기계 제조업</t>
        </is>
      </c>
      <c r="F458" s="68" t="inlineStr">
        <is>
          <t>◦상업 또는 산업용 섬유, 사, 직물, 섬유제품을 세척◦표백◦염색◦다림질◦정리◦코팅◦침적하거나 직물을 적층◦권취◦절단하는 각종 섬유 물질 처리 가공용 기계를 제조하는 산업활동을 말한다. 원피, 가죽처리 기계 및 부직포◦펠트 가공기계를 제조하는 경우도 포함한다.
&lt;예 시&gt;
·세탁소형 세탁기 제조
·직물 절단기 제조
·날염기 제조                             
·드라이 클리닝기 제조
·텐터기 제조
·호부기 제조
·원심식 의류 건조기 제조
&lt;제 외&gt;
·가정용 세탁기 및 건조기, 전기 다리미 제조(293002)
·가죽생산용 또는 신발제조 및 수리용 기계 제조(292600)</t>
        </is>
      </c>
      <c r="G458" s="90" t="n">
        <v>91.40000000000001</v>
      </c>
      <c r="H458" s="90" t="n">
        <v>0</v>
      </c>
      <c r="I458" s="90" t="n">
        <v>12.1</v>
      </c>
    </row>
    <row r="459" ht="17.25" customHeight="1" s="66">
      <c r="A459" s="65" t="inlineStr">
        <is>
          <t>292700</t>
        </is>
      </c>
      <c r="B459" s="68" t="inlineStr">
        <is>
          <t>제조업</t>
        </is>
      </c>
      <c r="C459" s="68" t="inlineStr">
        <is>
          <t>금속 가공제품 제조업: 기계 및 가구 제외</t>
        </is>
      </c>
      <c r="D459" s="68" t="inlineStr">
        <is>
          <t>무기 및 총포탄 제조업</t>
        </is>
      </c>
      <c r="E459" s="68" t="inlineStr">
        <is>
          <t>무기 및 총포탄 제조업</t>
        </is>
      </c>
      <c r="F459" s="68" t="inlineStr">
        <is>
          <t>◦로켓 발사기, 소형 화기 및 중화기와 총탄, 포탄, 폭탄 등 군사용 및 경찰용의 각종 무기를 제조하는 산업활동을 말한다. 수렵용 및 경기용의 총포탄을 제조하는 경우도 포함한다.
&lt;예 시&gt;
·폭탄 제조
·총탄 제조
·비군사용 무기 제조
·공기총 제조
·가스총 제조
·경기용 무기 제조
·수렵용 무기 제조
&lt;제 외&gt;
·폭발 점화장치, 뇌관, 불꽃제품 및 화약 제조(242906,369907)
·탱크, 전차 제조(359201)
·대륙간 탄도미사일 제조(353001)
·단검 제조(289304)</t>
        </is>
      </c>
      <c r="G459" s="90" t="n">
        <v>89.59999999999999</v>
      </c>
      <c r="H459" s="90" t="n">
        <v>0</v>
      </c>
      <c r="I459" s="90" t="n">
        <v>10.5</v>
      </c>
    </row>
    <row r="460" ht="17.25" customHeight="1" s="66">
      <c r="A460" s="65" t="inlineStr">
        <is>
          <t>292901</t>
        </is>
      </c>
      <c r="B460" s="68" t="inlineStr">
        <is>
          <t>제조업</t>
        </is>
      </c>
      <c r="C460" s="68" t="inlineStr">
        <is>
          <t>기타 기계 및 장비 제조업</t>
        </is>
      </c>
      <c r="D460" s="68" t="inlineStr">
        <is>
          <t>산업용 로봇 제조업</t>
        </is>
      </c>
      <c r="E460" s="68" t="inlineStr">
        <is>
          <t>산업용 로봇 제조업</t>
        </is>
      </c>
      <c r="F460" s="68" t="inlineStr">
        <is>
          <t>◦자동 제어 및 프로그램 수정이 가능하며 다목적 기능(용접, 도장, 하역ㆍ적하 및 양하, 절단, 조립ㆍ금속 기타 가공 등)을 수행하고 3개 축 이상을 가진 자동 조정장치인 산업용 로봇을 제조하는 산업활동을 말한다.
&lt;예 시&gt;
·산업용 로봇 제조
&lt;제 외&gt;
·물품 이송용 로봇 제조(291502)
·액체 및 분말 분사용 로봇(291909)
·착유용 로봇(292100)</t>
        </is>
      </c>
      <c r="G460" s="90" t="n">
        <v>89.59999999999999</v>
      </c>
      <c r="H460" s="90" t="n">
        <v>0</v>
      </c>
      <c r="I460" s="90" t="n">
        <v>11.5</v>
      </c>
    </row>
    <row r="461" ht="17.25" customHeight="1" s="66">
      <c r="A461" s="65" t="inlineStr">
        <is>
          <t>292902</t>
        </is>
      </c>
      <c r="B461" s="68" t="inlineStr">
        <is>
          <t>제조업</t>
        </is>
      </c>
      <c r="C461" s="68" t="inlineStr">
        <is>
          <t>기타 기계 및 장비 제조업</t>
        </is>
      </c>
      <c r="D461" s="68" t="inlineStr">
        <is>
          <t>기타 특수 목적용 기계 제조업</t>
        </is>
      </c>
      <c r="E461" s="68" t="inlineStr">
        <is>
          <t>인쇄 및 제책용 기계 제조업</t>
        </is>
      </c>
      <c r="F461" s="68" t="inlineStr">
        <is>
          <t>◦활자 주조기, 활자 식자기, 인쇄용 판◦블록◦실린더 제조기, 인쇄용 활자◦블록◦판◦실린더 제조, 인쇄기 및 인쇄 보조장치, 제책(제본)용 기계 등을 제조하는 산업활동을 말한다.
&lt;예 시&gt;
·인쇄 보조용 기계 제조
·활자 주조기 제조
·제판용 기계 제조
·식자기 제조
·오프셋 인쇄용 기계 제조
·활판 인쇄용 기계 제조
·곡면 인쇄용 기계 제조
·그라비아 인쇄용 기계 제조
·제책용 재봉기 제조
·제본기 제조</t>
        </is>
      </c>
      <c r="G461" s="90" t="n">
        <v>90.59999999999999</v>
      </c>
      <c r="H461" s="90" t="n">
        <v>0</v>
      </c>
      <c r="I461" s="90" t="n">
        <v>10.2</v>
      </c>
    </row>
    <row r="462" ht="17.25" customHeight="1" s="66">
      <c r="A462" s="65" t="inlineStr">
        <is>
          <t>292903</t>
        </is>
      </c>
      <c r="B462" s="68" t="inlineStr">
        <is>
          <t>제조업</t>
        </is>
      </c>
      <c r="C462" s="68" t="inlineStr">
        <is>
          <t>기타 기계 및 장비 제조업</t>
        </is>
      </c>
      <c r="D462" s="68" t="inlineStr">
        <is>
          <t>기타 특수 목적용 기계 제조업</t>
        </is>
      </c>
      <c r="E462" s="68" t="inlineStr">
        <is>
          <t>주형 및 금형 제조업</t>
        </is>
      </c>
      <c r="F462" s="68" t="inlineStr">
        <is>
          <t>◦각종 물질의 주조, 단조, 압형, 성형용 주형을 제조하거나 주형 제조용 모형 및 산업용 모형 등을 제조하는 산업활동을 말한다.
&lt;예 시&gt;
·다이 및 펀치 제조
·주형 틀 제조
·각종 물질용 금형 제조
·주형 베이스 제조
·산업용 모형 제조
·콘크리트 제품용 주형 제조
&lt;제 외&gt;
·지그 및 관련장치 제조(292204)
·잉곳용 주형 제조(292300)</t>
        </is>
      </c>
      <c r="G462" s="90" t="n">
        <v>90.8</v>
      </c>
      <c r="H462" s="90" t="n">
        <v>0</v>
      </c>
      <c r="I462" s="90" t="n">
        <v>15</v>
      </c>
    </row>
    <row r="463" ht="17.25" customHeight="1" s="66">
      <c r="A463" s="65" t="inlineStr">
        <is>
          <t>292905</t>
        </is>
      </c>
      <c r="B463" s="68" t="inlineStr">
        <is>
          <t>제조업</t>
        </is>
      </c>
      <c r="C463" s="68" t="inlineStr">
        <is>
          <t>기타 기계 및 장비 제조업</t>
        </is>
      </c>
      <c r="D463" s="68" t="inlineStr">
        <is>
          <t>기타 특수 목적용 기계 제조업</t>
        </is>
      </c>
      <c r="E463" s="68" t="inlineStr">
        <is>
          <t>그 외 기타 특수목적용 기계 제조업</t>
        </is>
      </c>
      <c r="F463" s="68" t="inlineStr">
        <is>
          <t>◦펄프, 종이, 판지 및 종이류 가공 제품용 기계를 제조하는 산업활동을 말한다.
&lt;예 시&gt;
·펄프 제조 및 가공기 제조
·종이 제조 및 가공기 제조
·판지 제조 및 가공기 제조
·종이 완성 가공기 제조
·종이, 판지제품 제조기 제조
&lt;제 외&gt;
·제본기 제조(292902)</t>
        </is>
      </c>
      <c r="G463" s="90" t="n">
        <v>90.59999999999999</v>
      </c>
      <c r="H463" s="90" t="n">
        <v>0</v>
      </c>
      <c r="I463" s="90" t="n">
        <v>12</v>
      </c>
    </row>
    <row r="464" ht="17.25" customHeight="1" s="66">
      <c r="A464" s="65" t="inlineStr">
        <is>
          <t>292906</t>
        </is>
      </c>
      <c r="B464" s="68" t="inlineStr">
        <is>
          <t>제조업</t>
        </is>
      </c>
      <c r="C464" s="68" t="inlineStr">
        <is>
          <t>기타 기계 및 장비 제조업</t>
        </is>
      </c>
      <c r="D464" s="68" t="inlineStr">
        <is>
          <t>기타 특수 목적용 기계 제조업</t>
        </is>
      </c>
      <c r="E464" s="68" t="inlineStr">
        <is>
          <t>고무, 화학섬유 및 플라스틱 성형기 제조업</t>
        </is>
      </c>
      <c r="F464" s="68" t="inlineStr">
        <is>
          <t>◦고무 또는 플라스틱 재료로 각종 제품을 사출 성형하는 기계 및 장비를 제조하는 산업활동을 말한다. 화학섬유의 방사, 인발 및 텍스처용 가공기계 제조도 포함한다.
&lt;예 시&gt;
·고무 성형 가공기 제조
·플라스틱 성형 가공기 제조
·화학섬유 방사기 제조
·화학섬유 인발기 제조
&lt;제 외&gt;
·경화 고무 또는 경화 플라스틱 가공기계 제조(292204)</t>
        </is>
      </c>
      <c r="G464" s="90" t="n">
        <v>90.59999999999999</v>
      </c>
      <c r="H464" s="90" t="n">
        <v>0</v>
      </c>
      <c r="I464" s="90" t="n">
        <v>12</v>
      </c>
    </row>
    <row r="465" ht="17.25" customHeight="1" s="66">
      <c r="A465" s="65" t="inlineStr">
        <is>
          <t>292907</t>
        </is>
      </c>
      <c r="B465" s="68" t="inlineStr">
        <is>
          <t>제조업</t>
        </is>
      </c>
      <c r="C465" s="68" t="inlineStr">
        <is>
          <t>기타 기계 및 장비 제조업</t>
        </is>
      </c>
      <c r="D465" s="68" t="inlineStr">
        <is>
          <t>기타 특수 목적용 기계 제조업</t>
        </is>
      </c>
      <c r="E465" s="68" t="inlineStr">
        <is>
          <t>그 외 기타 특수 목적용 기계 제조업</t>
        </is>
      </c>
      <c r="F465" s="68" t="inlineStr">
        <is>
          <t>◦유리 및 요업용 기계, 산업용 열식 건조기 및 금속 표면 처리용 기기, 전선 권선기, 동위원소 분리용 기기와 개별 기능을 가진 기타 특수 기계를 제조하는 산업활동을 말한다.
&lt;예 시&gt;
·전구 제조기 제조
·비금속 광물제품 열간 가공기 제조
·비금속 광물제품 가공 기계 제조
·산업용 물질 건조기 제조(농업용, 가정용 제외)
·건조기 제조(열식, 산업용)
·절연 또는 보호 재료 피복기 제조
·공기 가습기 및 제습기 제조
·로프 또는 케이블 제조기 제조
·금속 세척기 제조
·폐기물 처리 기기 제조
·교반기 제조
·아일레팅(eyeletting)기, 관상(튜우블러) 리베팅기 제조
·자동 도어 작동기 제조
·자동 마그네틱 테이프 제조기 제조
·전기 또는 전자 램프, 튜브, 밸브, 섬광 전구(플래시 벌브) 조립기계 제조(외피가 유리제의 것)
·인쇄회로기판 표면실장용 기계(SMT 장비) 제조
·동위원소 분리기 제조
·디스플레이 유리 기판 제조용 기계 제조
·전자식 모의 훈련 기기(시뮬레이터) 제조
&lt;제 외&gt;
·일반목적용 원심분리기 제조(291911)
·가정용 의복건조기 제조(293002)
·농산물 건조기 제조(292100)
·산업용 식품 가열 또는 냉각기 제조(292500)
·가정용 전기 가열기 및 건조기 제조(293001,293002,293005)
·온도 변화에 의한 방법으로 재료를 처리하는 기기, 설비 또는 장치(전기 가열식 및 이화학용의 것을 포함, 가정용 제외) 제조(291907)
·냉간 유리 가공 공작기계 제조(292204)</t>
        </is>
      </c>
      <c r="G465" s="90" t="n">
        <v>90.59999999999999</v>
      </c>
      <c r="H465" s="90" t="n">
        <v>0</v>
      </c>
      <c r="I465" s="90" t="n">
        <v>10.9</v>
      </c>
    </row>
    <row r="466" ht="17.25" customHeight="1" s="66">
      <c r="A466" s="65" t="inlineStr">
        <is>
          <t>292908</t>
        </is>
      </c>
      <c r="B466" s="68" t="inlineStr">
        <is>
          <t>제조업</t>
        </is>
      </c>
      <c r="C466" s="68" t="inlineStr">
        <is>
          <t>기타 기계 및 장비 제조업</t>
        </is>
      </c>
      <c r="D466" s="68" t="inlineStr">
        <is>
          <t>반도체 및 디스플레이 제조용 기계 제조업</t>
        </is>
      </c>
      <c r="E466" s="68" t="inlineStr">
        <is>
          <t>반도체 제조용 기계 제조업</t>
        </is>
      </c>
      <c r="F466" s="68" t="inlineStr">
        <is>
          <t>◦웨이퍼 가공 및 반도체 조립용 장비 등의 반도체 제조에 직접 사용되는 기계◦장비를 제조하는 산업활동을 말한다. 인쇄회로기판 제조관련 장비, 반도체 시험검사기 등과 같이 그 특정 기능을 갖는 장비를 제조하는 경우에는 제외한다.
&lt;예 시&gt;
·반도체 조립용 장비 제조
·웨이퍼 식각 및 현상기계 제조
·포토 레지스터 현상 및 도포용 기계 제조
&lt;제 외&gt;
·반도체 시험 검사기 제조(331204,331207)</t>
        </is>
      </c>
      <c r="G466" s="90" t="n">
        <v>90.8</v>
      </c>
      <c r="H466" s="90" t="n">
        <v>0</v>
      </c>
      <c r="I466" s="90" t="n">
        <v>12.4</v>
      </c>
    </row>
    <row r="467" ht="17.25" customHeight="1" s="66">
      <c r="A467" s="65" t="inlineStr">
        <is>
          <t>292909</t>
        </is>
      </c>
      <c r="B467" s="68" t="inlineStr">
        <is>
          <t>제조업</t>
        </is>
      </c>
      <c r="C467" s="68" t="inlineStr">
        <is>
          <t>기타 기계 및 장비 제조업</t>
        </is>
      </c>
      <c r="D467" s="68" t="inlineStr">
        <is>
          <t>반도체 및 디스플레이 제조용 기계 제조업</t>
        </is>
      </c>
      <c r="E467" s="68" t="inlineStr">
        <is>
          <t>디스플레이 제조용 기계 제조업</t>
        </is>
      </c>
      <c r="F467" s="68" t="inlineStr">
        <is>
          <t>◦디스플레이(표시장치) 패널(DP) 제조용 기계를 제조하는 산업활동과 DP, 구동 회로, 백라이트 유닛 등 구성 요소를 결합하여 디스플레이를 조립하는 기계를 제조하는 산업활동을 말한다. 디스플레이용 유리 기판 제조용 기계, 백라이트 유닛 제조용 기계 등 디스플레이 구성 요소 제조용 기계를 제조하는 산업활동은 제외한다. 시험검사기 등과 같이 그 특정 기능을 갖는 장비 제조도 제외한다.
&lt;예 시&gt;
·디스플레이 패널 제조용 기계 제조
·디스플레이 조립용 기계 제조
&lt;제 외&gt;
·디스플레이 유리 기판 제조용 기계 제조(292907)</t>
        </is>
      </c>
      <c r="G467" s="90" t="n">
        <v>90.8</v>
      </c>
      <c r="H467" s="90" t="n">
        <v>0</v>
      </c>
      <c r="I467" s="90" t="n">
        <v>12.9</v>
      </c>
    </row>
    <row r="468" ht="17.25" customHeight="1" s="66">
      <c r="A468" s="65" t="inlineStr">
        <is>
          <t>293001</t>
        </is>
      </c>
      <c r="B468" s="68" t="inlineStr">
        <is>
          <t>제조업</t>
        </is>
      </c>
      <c r="C468" s="68" t="inlineStr">
        <is>
          <t>전기장비 제조업</t>
        </is>
      </c>
      <c r="D468" s="68" t="inlineStr">
        <is>
          <t>가정용 전기 기기 제조업</t>
        </is>
      </c>
      <c r="E468" s="68" t="inlineStr">
        <is>
          <t>주방용 전기 기기 제조업</t>
        </is>
      </c>
      <c r="F468" s="68" t="inlineStr">
        <is>
          <t>◦음식 조리 및 저장 기기, 식기 세척 및 건조기 등 주로 주방에서 사용하는 주방용 전기 기기를 제조하는 산업활동을 말한다.
&lt;예 시&gt;
·전기 보온밥솥 제조
·가정용 냉장고, 냉동고 제조
·접시 세척기 제조
·식품용 그라인더 및 과즙기 제조
·전기 토스터 제조
·전자 레인지 제조      
·가정용 전기 오븐 제조
·음식료품 가공기
&lt;제 외&gt;
·전기 다리미 제조(293002)
·산업용 접시 세척기 제조(291911)
·전기식 난방기 제조(293005)
·가정용 정수기 제조(291906)</t>
        </is>
      </c>
      <c r="G468" s="90" t="n">
        <v>89.7</v>
      </c>
      <c r="H468" s="90" t="n">
        <v>0</v>
      </c>
      <c r="I468" s="90" t="n">
        <v>10</v>
      </c>
    </row>
    <row r="469" ht="17.25" customHeight="1" s="66">
      <c r="A469" s="65" t="inlineStr">
        <is>
          <t>293002</t>
        </is>
      </c>
      <c r="B469" s="68" t="inlineStr">
        <is>
          <t>제조업</t>
        </is>
      </c>
      <c r="C469" s="68" t="inlineStr">
        <is>
          <t>전기장비 제조업</t>
        </is>
      </c>
      <c r="D469" s="68" t="inlineStr">
        <is>
          <t>가정용 전기 기기 제조업</t>
        </is>
      </c>
      <c r="E469" s="68" t="inlineStr">
        <is>
          <t>기타 가정용 전기 기기 제조업</t>
        </is>
      </c>
      <c r="F469" s="68" t="inlineStr">
        <is>
          <t>◦주방용 기기와 가정용 전기 난방 기기를 제외한 세탁기, 선풍기, 진공 청소기, 전기 이◦미용 기구, 전기 안마기, 손 건조기 등 기타 가정용 전기 기기 및 기구를 제조하는 산업활동을 말한다.
&lt;예 시&gt;
·세탁기 제조
·의류 건조기 제조
·환풍기 제조
·선풍기 제조
·연탄 가스 배출기 제조
·가정용 살균 소독기 제조
·전기 다리미 제조
·진공 청소기 및 마루 광택기 제조
·전기 이발기 제조
·전기 미용기 제조
·전기 면도기 제조
·가습기, 전기식온수기(가정용)
&lt;제 외&gt;
·가정용 기기와 유사한 명칭을 갖는 산업용 또는 상업용 기계·장비 제조(산업용,상업용 기계 장비 제조에 해당되는 산업활동으로 분류)
·의료용 기계식 안마기 제조(331106,331102)
·가정용 공기 조화장치 제조(291903)
·가정용 공기 청정기 제조(291905)</t>
        </is>
      </c>
      <c r="G469" s="90" t="n">
        <v>92.40000000000001</v>
      </c>
      <c r="H469" s="90" t="n">
        <v>0</v>
      </c>
      <c r="I469" s="90" t="n">
        <v>9</v>
      </c>
    </row>
    <row r="470" ht="17.25" customHeight="1" s="66">
      <c r="A470" s="65" t="inlineStr">
        <is>
          <t>293004</t>
        </is>
      </c>
      <c r="B470" s="68" t="inlineStr">
        <is>
          <t>제조업</t>
        </is>
      </c>
      <c r="C470" s="68" t="inlineStr">
        <is>
          <t>전기장비 제조업</t>
        </is>
      </c>
      <c r="D470" s="68" t="inlineStr">
        <is>
          <t>가정용 비전기식 조리 및 난방 기구 제조업</t>
        </is>
      </c>
      <c r="E470" s="68" t="inlineStr">
        <is>
          <t>가정용 비전기식 조리 및 난방 기구 제조업</t>
        </is>
      </c>
      <c r="F470" s="68" t="inlineStr">
        <is>
          <t>◦비전기식 조리기(레인지) 및 기타 유사 조리용 기구, 난로, 화덕, 가정용 중앙 난방설비, 온수기 및 열판 등의 각종 비전기식 가정용 조리 또는 난방용 기구를 제조하는 산업활동을 말한다.
&lt;예 시&gt;
·비전기식 가정용 조리 또는 난방장치 제조
·비전기식 난로(스토브), 조리기(레인지), 화로, 가스 난방기, 가열판과 이와 유사한 가정용 기구 제조
&lt;제 외&gt;
·태양열 집열장치 제조(291401)
·열(히트)펌프 제조(291902)</t>
        </is>
      </c>
      <c r="G470" s="90" t="n">
        <v>91.5</v>
      </c>
      <c r="H470" s="90" t="n">
        <v>0</v>
      </c>
      <c r="I470" s="90" t="n">
        <v>8.5</v>
      </c>
    </row>
    <row r="471" ht="17.25" customHeight="1" s="66">
      <c r="A471" s="65" t="inlineStr">
        <is>
          <t>293005</t>
        </is>
      </c>
      <c r="B471" s="68" t="inlineStr">
        <is>
          <t>제조업</t>
        </is>
      </c>
      <c r="C471" s="68" t="inlineStr">
        <is>
          <t>전기장비 제조업</t>
        </is>
      </c>
      <c r="D471" s="68" t="inlineStr">
        <is>
          <t>가정용 전기 기기 제조업</t>
        </is>
      </c>
      <c r="E471" s="68" t="inlineStr">
        <is>
          <t>가정용 전기 난방기기 제조업</t>
        </is>
      </c>
      <c r="F471" s="68" t="inlineStr">
        <is>
          <t>◦전기 장판, 전기 모포, 전기 온풍기 등 가정용 전기 난방 기기를 제조하는 산업활동을 말한다.
&lt;예 시&gt;
·전기 모포 제조
·전기식 난방기 제조</t>
        </is>
      </c>
      <c r="G471" s="90" t="n">
        <v>89.7</v>
      </c>
      <c r="H471" s="90" t="n">
        <v>0</v>
      </c>
      <c r="I471" s="90" t="n">
        <v>10.6</v>
      </c>
    </row>
    <row r="472" ht="17.25" customHeight="1" s="66">
      <c r="A472" s="65" t="inlineStr">
        <is>
          <t>300100</t>
        </is>
      </c>
      <c r="B472" s="68" t="inlineStr">
        <is>
          <t>제조업</t>
        </is>
      </c>
      <c r="C472" s="68" t="inlineStr">
        <is>
          <t>전자 부품, 컴퓨터, 영상, 음향 및 통신장비 제조업</t>
        </is>
      </c>
      <c r="D472" s="68" t="inlineStr">
        <is>
          <t>컴퓨터 제조업</t>
        </is>
      </c>
      <c r="E472" s="68" t="inlineStr">
        <is>
          <t>컴퓨터 제조업</t>
        </is>
      </c>
      <c r="F472" s="68" t="inlineStr">
        <is>
          <t>◦아날로그형, 하이브리드형 또는 디지털형의 자동 자료처리 장비(컴퓨터)를 제조하는 산업활동으로서 중앙 처리장치를 생산하거나 중앙 처리장치와 입출력 장치가 결합, 장착된 컴퓨터 장치를 제조하는 경우도 여기에 분류된다.
&lt;예 시&gt;
·탁상용(데스크톱) PC 제조
·노트북 PC 제조
·워크스테이션 제조
·중형 및 대형 컴퓨터 제조
·컴퓨터 중앙 자료처리 장치 제조
·휴대용 소형 컴퓨터(PDA) 제조</t>
        </is>
      </c>
      <c r="G472" s="90" t="n">
        <v>90</v>
      </c>
      <c r="H472" s="90" t="n">
        <v>0</v>
      </c>
      <c r="I472" s="90" t="n">
        <v>12</v>
      </c>
    </row>
    <row r="473" ht="17.25" customHeight="1" s="66">
      <c r="A473" s="65" t="inlineStr">
        <is>
          <t>300101</t>
        </is>
      </c>
      <c r="B473" s="68" t="inlineStr">
        <is>
          <t>제조업</t>
        </is>
      </c>
      <c r="C473" s="68" t="inlineStr">
        <is>
          <t>전자 부품, 컴퓨터, 영상, 음향 및 통신장비 제조업</t>
        </is>
      </c>
      <c r="D473" s="68" t="inlineStr">
        <is>
          <t>기억 장치 및 주변 기기 제조업</t>
        </is>
      </c>
      <c r="E473" s="68" t="inlineStr">
        <is>
          <t>기타 주변 기기 제조업</t>
        </is>
      </c>
      <c r="F473" s="68" t="inlineStr">
        <is>
          <t>◦컴퓨터용 모니터 및 프린터를 제외한 컴퓨터용 입◦출력 장치(입력 장치 또는 출력 장치) 및 기타 컴퓨터 주변 기기를 제조하는 산업활동을 말한다. 기억 장치의 내장 여부를 불문한다.
&lt;예 시&gt;
·스캐너 제조
·마우스 제조
·컴퓨터용 자판 제조
·자료 전사기 제조
·스마트 카드 리더 제조
·바코드 리더 제조
&lt;제 외&gt;
·컴퓨터용 모뎀 제조(321001)</t>
        </is>
      </c>
      <c r="G473" s="90" t="n">
        <v>90</v>
      </c>
      <c r="H473" s="90" t="n">
        <v>0</v>
      </c>
      <c r="I473" s="90" t="n">
        <v>10</v>
      </c>
    </row>
    <row r="474" ht="17.25" customHeight="1" s="66">
      <c r="A474" s="65" t="inlineStr">
        <is>
          <t>300102</t>
        </is>
      </c>
      <c r="B474" s="68" t="inlineStr">
        <is>
          <t>제조업</t>
        </is>
      </c>
      <c r="C474" s="68" t="inlineStr">
        <is>
          <t>전자 부품, 컴퓨터, 영상, 음향 및 통신장비 제조업</t>
        </is>
      </c>
      <c r="D474" s="68" t="inlineStr">
        <is>
          <t>기억 장치 및 주변 기기 제조업</t>
        </is>
      </c>
      <c r="E474" s="68" t="inlineStr">
        <is>
          <t>기억 장치 제조업</t>
        </is>
      </c>
      <c r="F474" s="68" t="inlineStr">
        <is>
          <t>◦컴퓨터용 기억 장치를 제조하는 산업활동을 말한다.
&lt;예 시&gt;
·CD 드라이브 제조
·광 디스크 드라이브 제조
·보조 기억장치 제조
·하드 디스크 드라이브 제조
·USB 제조
·주 기억 장치(RAM 및 ROM) 제조</t>
        </is>
      </c>
      <c r="G474" s="90" t="n">
        <v>90</v>
      </c>
      <c r="H474" s="90" t="n">
        <v>0</v>
      </c>
      <c r="I474" s="90" t="n">
        <v>12.4</v>
      </c>
    </row>
    <row r="475" ht="17.25" customHeight="1" s="66">
      <c r="A475" s="65" t="inlineStr">
        <is>
          <t>300103</t>
        </is>
      </c>
      <c r="B475" s="68" t="inlineStr">
        <is>
          <t>제조업</t>
        </is>
      </c>
      <c r="C475" s="68" t="inlineStr">
        <is>
          <t>전자 부품, 컴퓨터, 영상, 음향 및 통신장비 제조업</t>
        </is>
      </c>
      <c r="D475" s="68" t="inlineStr">
        <is>
          <t>기억 장치 및 주변 기기 제조업</t>
        </is>
      </c>
      <c r="E475" s="68" t="inlineStr">
        <is>
          <t>컴퓨터 모니터 제조업</t>
        </is>
      </c>
      <c r="F475" s="68" t="inlineStr">
        <is>
          <t>◦각종 컴퓨터용 모니터를 제조하는 산업활동을 말한다. 입력장치를 겸한 모니터 제조도 포함한다.
&lt;예 시&gt;
·LCD 모니터 제조
·OLED 모니터 제조
·CRT 모니터 제조</t>
        </is>
      </c>
      <c r="G475" s="90" t="n">
        <v>90</v>
      </c>
      <c r="H475" s="90" t="n">
        <v>0</v>
      </c>
      <c r="I475" s="90" t="n">
        <v>12.4</v>
      </c>
    </row>
    <row r="476" ht="17.25" customHeight="1" s="66">
      <c r="A476" s="65" t="inlineStr">
        <is>
          <t>300104</t>
        </is>
      </c>
      <c r="B476" s="68" t="inlineStr">
        <is>
          <t>제조업</t>
        </is>
      </c>
      <c r="C476" s="68" t="inlineStr">
        <is>
          <t>전자 부품, 컴퓨터, 영상, 음향 및 통신장비 제조업</t>
        </is>
      </c>
      <c r="D476" s="68" t="inlineStr">
        <is>
          <t>기억 장치 및 주변 기기 제조업</t>
        </is>
      </c>
      <c r="E476" s="68" t="inlineStr">
        <is>
          <t>컴퓨터 프린터 제조업</t>
        </is>
      </c>
      <c r="F476" s="68" t="inlineStr">
        <is>
          <t>◦각종 컴퓨터용 프린터를 제조하는 산업활동을 말한다.
&lt;예 시&gt;
·레이저 프린터 제조
·잉크제트 프린터 제조</t>
        </is>
      </c>
      <c r="G476" s="90" t="n">
        <v>90</v>
      </c>
      <c r="H476" s="90" t="n">
        <v>0</v>
      </c>
      <c r="I476" s="90" t="n">
        <v>12.4</v>
      </c>
    </row>
    <row r="477" ht="17.25" customHeight="1" s="66">
      <c r="A477" s="65" t="inlineStr">
        <is>
          <t>300201</t>
        </is>
      </c>
      <c r="B477" s="68" t="inlineStr">
        <is>
          <t>제조업</t>
        </is>
      </c>
      <c r="C477" s="68" t="inlineStr">
        <is>
          <t>기타 기계 및 장비 제조업</t>
        </is>
      </c>
      <c r="D477" s="68" t="inlineStr">
        <is>
          <t>사무용 기계 및 장비 제조업</t>
        </is>
      </c>
      <c r="E477" s="68" t="inlineStr">
        <is>
          <t>사무용 기계 및 장비 제조업</t>
        </is>
      </c>
      <c r="F477" s="68" t="inlineStr">
        <is>
          <t>◦등사기, 주소 인쇄기, 타자기와 자동 타자기, 전자계산기 및 기타 계산기, 회계기, 현금 등록기, 우편요금 계산기, 표 발행기, 동전 분류◦포장 및 계산기, 봉투 투입기, 연필 깎는 기계, 천공 또는 스테플링기 등 사무용 기계 및 장비를 제조하는 산업활동을 말한다.
&lt;예 시&gt;
·금전 등록기 제조
·우편요금 계기 제조
·표권 발행기 제조
·타자기 제조
·워드프로세싱기 제조
·등사기 제조(사무실용)
·화폐 분류기, 계산기 및 포장기 제조
·주소 인쇄기 제조
·연필 깎는 기계 제조
·천공기 제조(사무실용)
·우편물 처리기 제조          
·전자계산기 제조
·칠판 제조
·현금 지급기 제조
&lt;제 외&gt;
·화폐 교환기 제조(291911)
·컴퓨터 및 그 주변 기기 제조(300100~300104)
·문구용 화이트보드 제조(369902)
*사진식, 열식, 광학식, 밀착식, 건식, 습식 복사기 제조(→300202)</t>
        </is>
      </c>
      <c r="G477" s="90" t="n">
        <v>91.09999999999999</v>
      </c>
      <c r="H477" s="90" t="n">
        <v>0</v>
      </c>
      <c r="I477" s="90" t="n">
        <v>8.1</v>
      </c>
    </row>
    <row r="478" ht="17.25" customHeight="1" s="66">
      <c r="A478" s="65" t="inlineStr">
        <is>
          <t>300202</t>
        </is>
      </c>
      <c r="B478" s="68" t="inlineStr">
        <is>
          <t>제조업</t>
        </is>
      </c>
      <c r="C478" s="68" t="inlineStr">
        <is>
          <t>기타 기계 및 장비 제조업</t>
        </is>
      </c>
      <c r="D478" s="68" t="inlineStr">
        <is>
          <t>사무용 기계 및 장비 제조업</t>
        </is>
      </c>
      <c r="E478" s="68" t="inlineStr">
        <is>
          <t>사무용 기계 및 장비 제조업</t>
        </is>
      </c>
      <c r="F478" s="68" t="inlineStr">
        <is>
          <t>◦복사기
&lt;예 시&gt;
 ·사진복사장치, 전자복사기
 ·사진식, 열식, 광학식, 밀착식, 건식, 습식 복사기</t>
        </is>
      </c>
      <c r="G478" s="90" t="n">
        <v>90.2</v>
      </c>
      <c r="H478" s="90" t="n">
        <v>0</v>
      </c>
      <c r="I478" s="90" t="n">
        <v>11</v>
      </c>
    </row>
    <row r="479" ht="17.25" customHeight="1" s="66">
      <c r="A479" s="65" t="inlineStr">
        <is>
          <t>311001</t>
        </is>
      </c>
      <c r="B479" s="68" t="inlineStr">
        <is>
          <t>제조업</t>
        </is>
      </c>
      <c r="C479" s="68" t="inlineStr">
        <is>
          <t>전자 부품, 컴퓨터, 영상, 음향 및 통신장비 제조업</t>
        </is>
      </c>
      <c r="D479" s="68" t="inlineStr">
        <is>
          <t>기타 전자 부품 제조업</t>
        </is>
      </c>
      <c r="E479" s="68" t="inlineStr">
        <is>
          <t>전자코일, 변성기 및 기타 전자 유도자 제조업</t>
        </is>
      </c>
      <c r="F479" s="68" t="inlineStr">
        <is>
          <t>◦전자 기기에 사용되는 전자 주파수 및 음성 주파수 변환용 전자 코일◦변성기 및 기타 전자 유도자 등을 제조하는 산업활동을 말한다.
&lt;예 시&gt;
·전자 변성기 제조
·전자 주파수 변환용 전자 코일 제조
·전자 유도자 제조
·음성 주파수 변환용 전자 코일 제조
&lt;제 외&gt;
·전기 기기용 전압 조정기(변압기) 제조(311003)</t>
        </is>
      </c>
      <c r="G479" s="90" t="n">
        <v>91.5</v>
      </c>
      <c r="H479" s="90" t="n">
        <v>0</v>
      </c>
      <c r="I479" s="90" t="n">
        <v>9.9</v>
      </c>
    </row>
    <row r="480" ht="17.25" customHeight="1" s="66">
      <c r="A480" s="65" t="inlineStr">
        <is>
          <t>311002</t>
        </is>
      </c>
      <c r="B480" s="68" t="inlineStr">
        <is>
          <t>제조업</t>
        </is>
      </c>
      <c r="C480" s="68" t="inlineStr">
        <is>
          <t>전기장비 제조업</t>
        </is>
      </c>
      <c r="D480" s="68" t="inlineStr">
        <is>
          <t>전동기, 발전기 및 전기 변환장치 제조업</t>
        </is>
      </c>
      <c r="E480" s="68" t="inlineStr">
        <is>
          <t>전동기 및 발전기 제조업</t>
        </is>
      </c>
      <c r="F480" s="68" t="inlineStr">
        <is>
          <t>◦전기 모터, 발전기 장치, 회전 변환기를 제조하는 산업활동을 말한다.
&lt;예 시&gt;
·전동기 제조
·발전장치 제조
·직류 발전기 제조
·교류·직류 겸용 전동기 제조
·태양광 발전장치 제조
&lt;제 외&gt;
·자동차용 발전기와 크랭크, 회전식 모터 제조(343004)
·유압식 모터 제조(291200)</t>
        </is>
      </c>
      <c r="G480" s="90" t="n">
        <v>89.59999999999999</v>
      </c>
      <c r="H480" s="90" t="n">
        <v>0</v>
      </c>
      <c r="I480" s="90" t="n">
        <v>9.1</v>
      </c>
    </row>
    <row r="481" ht="17.25" customHeight="1" s="66">
      <c r="A481" s="65" t="inlineStr">
        <is>
          <t>311003</t>
        </is>
      </c>
      <c r="B481" s="68" t="inlineStr">
        <is>
          <t>제조업</t>
        </is>
      </c>
      <c r="C481" s="68" t="inlineStr">
        <is>
          <t>전기장비 제조업</t>
        </is>
      </c>
      <c r="D481" s="68" t="inlineStr">
        <is>
          <t>전동기, 발전기 및 전기 변환장치 제조업</t>
        </is>
      </c>
      <c r="E481" s="68" t="inlineStr">
        <is>
          <t>변압기 제조업</t>
        </is>
      </c>
      <c r="F481" s="68" t="inlineStr">
        <is>
          <t>◦교류 전류를 전압 및 기타 전기적 특성이 다른 교류로 변환시키는 장치를 제조하는 산업활동으로서 전력용 변압기, 특수 변압기, 계기용 변압기 등을 제조하는 산업활동을 말한다.
&lt;예 시&gt;
·전압 조정기 제조
·변압기 및 부분품 제조
&lt;제 외&gt;
·전자 기기용의 전자 변성기 제조(311001)
·방전램프용 안정기 제조(311004)
·방사선 기기용 고주파 발생기(변압기) 제조(331103)
·산업처리용 전압 자동조정기 제조(331300)</t>
        </is>
      </c>
      <c r="G481" s="90" t="n">
        <v>89.59999999999999</v>
      </c>
      <c r="H481" s="90" t="n">
        <v>0</v>
      </c>
      <c r="I481" s="90" t="n">
        <v>11.2</v>
      </c>
    </row>
    <row r="482" ht="17.25" customHeight="1" s="66">
      <c r="A482" s="65" t="inlineStr">
        <is>
          <t>311004</t>
        </is>
      </c>
      <c r="B482" s="68" t="inlineStr">
        <is>
          <t>제조업</t>
        </is>
      </c>
      <c r="C482" s="68" t="inlineStr">
        <is>
          <t>전기장비 제조업</t>
        </is>
      </c>
      <c r="D482" s="68" t="inlineStr">
        <is>
          <t>전동기, 발전기 및 전기 변환장치 제조업</t>
        </is>
      </c>
      <c r="E482" s="68" t="inlineStr">
        <is>
          <t>기타 전기 변환장치 제조업</t>
        </is>
      </c>
      <c r="F482" s="68" t="inlineStr">
        <is>
          <t>◦방전 램프용의 안정기를 제조하는 산업활동을 말한다.
&lt;예 시&gt;
·전류 조절기 제조
·방전 램프용 안정기</t>
        </is>
      </c>
      <c r="G482" s="90" t="n">
        <v>89.59999999999999</v>
      </c>
      <c r="H482" s="90" t="n">
        <v>0</v>
      </c>
      <c r="I482" s="90" t="n">
        <v>11.2</v>
      </c>
    </row>
    <row r="483" ht="17.25" customHeight="1" s="66">
      <c r="A483" s="65" t="inlineStr">
        <is>
          <t>311005</t>
        </is>
      </c>
      <c r="B483" s="68" t="inlineStr">
        <is>
          <t>제조업</t>
        </is>
      </c>
      <c r="C483" s="68" t="inlineStr">
        <is>
          <t>전기장비 제조업</t>
        </is>
      </c>
      <c r="D483" s="68" t="inlineStr">
        <is>
          <t>전동기, 발전기 및 전기 변환장치 제조업</t>
        </is>
      </c>
      <c r="E483" s="68" t="inlineStr">
        <is>
          <t>에너지 저장장치 제조업</t>
        </is>
      </c>
      <c r="F483" s="68" t="inlineStr">
        <is>
          <t>◦인버터, 보호회로, 충전 컨트롤러, 표시반 등으로 구성되어 전류를 저장하고 변환하여 외부에 공급하는 전원 공급장치를 제조하는 산업활동을 말한다.
&lt;예 시&gt;
·ESS(Energy Storage System) 제조</t>
        </is>
      </c>
      <c r="G483" s="90" t="n">
        <v>89.59999999999999</v>
      </c>
      <c r="H483" s="90" t="n">
        <v>0</v>
      </c>
      <c r="I483" s="90" t="n">
        <v>11.2</v>
      </c>
    </row>
    <row r="484" ht="17.25" customHeight="1" s="66">
      <c r="A484" s="65" t="inlineStr">
        <is>
          <t>311006</t>
        </is>
      </c>
      <c r="B484" s="68" t="inlineStr">
        <is>
          <t>제조업</t>
        </is>
      </c>
      <c r="C484" s="68" t="inlineStr">
        <is>
          <t>전기장비 제조업</t>
        </is>
      </c>
      <c r="D484" s="68" t="inlineStr">
        <is>
          <t>전동기, 발전기 및 전기 변환장치 제조업</t>
        </is>
      </c>
      <c r="E484" s="68" t="inlineStr">
        <is>
          <t>기타 전기 변환장치 제조업</t>
        </is>
      </c>
      <c r="F484" s="68" t="inlineStr">
        <is>
          <t>◦정지형 변환기 및 기타 유도자를 제조하는 산업활동을 말한다.
&lt;예 시&gt;
·건전지 충전장치 제조
·배터리 충전기 제조
·컨버터 제조
·파워팩 제조
·인버터 제조
·어댑터 제조
·무정전 전원장치 제조
·전기 유도자 제조
&lt;제 외&gt;
·전자 유도자 제조(311001)</t>
        </is>
      </c>
      <c r="G484" s="90" t="n">
        <v>89.59999999999999</v>
      </c>
      <c r="H484" s="90" t="n">
        <v>0</v>
      </c>
      <c r="I484" s="90" t="n">
        <v>8.800000000000001</v>
      </c>
    </row>
    <row r="485" ht="17.25" customHeight="1" s="66">
      <c r="A485" s="65" t="inlineStr">
        <is>
          <t>312000</t>
        </is>
      </c>
      <c r="B485" s="68" t="inlineStr">
        <is>
          <t>제조업</t>
        </is>
      </c>
      <c r="C485" s="68" t="inlineStr">
        <is>
          <t>전기장비 제조업</t>
        </is>
      </c>
      <c r="D485" s="68" t="inlineStr">
        <is>
          <t>전기 공급 및 제어장치 제조업</t>
        </is>
      </c>
      <c r="E485" s="68" t="inlineStr">
        <is>
          <t>배전반 및 전기 자동제어반 제조업</t>
        </is>
      </c>
      <c r="F485" s="68" t="inlineStr">
        <is>
          <t>◦전기회로 개폐 또는 보호장치를 보드, 콘솔 및 캐비닛 등에 결합, 장착하여 가정용, 산업용 기기를 위한 배전반 및 전기 제어반을 제조하는 산업활동을 말한다. 여기에는 측정, 시험, 항해, 제어 및 기타 정밀기기 제조업에서 생산되는 계기와 변압기, 가감저항기 등의 보조장치가 결합될 수 있으며, 수치 제어식 또는 프로그램이 내장된 것도 포함한다.
&lt;예 시&gt;
·교류(AC) 및 직류(DC) 드라이브 제조
·모터 시동 및 속도 조정기 제조
·전기 제어기 부분품 제조
·배전기 부분품 제조       
·수치 제어반 제조
·PLC(프로그램 내장 컨트롤러) 제조       
·배전기가 장착된 보드, 콘솔, 캐비닛 등 제조
&lt;제 외&gt;
·산업용 컴퓨터 제조(300100)
·산업 처리공정 자동 측정 및 제어장비 제조(331300)
·상업 및 주거 환경용 기기 자동 조정장비 제조(331206)
·시계 구동부 제조(333000)             
·스위치와 접속자만 결합된 배전반 제조(312000)
·전자기기용 전자 접속장치 제조(321001)  
·자동차용 신품 모터 시동기 제조(343004)</t>
        </is>
      </c>
      <c r="G485" s="90" t="n">
        <v>90.2</v>
      </c>
      <c r="H485" s="90" t="n">
        <v>0</v>
      </c>
      <c r="I485" s="90" t="n">
        <v>11.2</v>
      </c>
    </row>
    <row r="486" ht="17.25" customHeight="1" s="66">
      <c r="A486" s="65" t="inlineStr">
        <is>
          <t>312001</t>
        </is>
      </c>
      <c r="B486" s="68" t="inlineStr">
        <is>
          <t>제조업</t>
        </is>
      </c>
      <c r="C486" s="68" t="inlineStr">
        <is>
          <t>전기장비 제조업</t>
        </is>
      </c>
      <c r="D486" s="68" t="inlineStr">
        <is>
          <t>전기 공급 및 제어장치 제조업</t>
        </is>
      </c>
      <c r="E486" s="68" t="inlineStr">
        <is>
          <t>전기회로 개폐, 보호 장치 제조업</t>
        </is>
      </c>
      <c r="F486" s="68" t="inlineStr">
        <is>
          <t>◦배전용 또는 기기용 전기회로의 개폐, 보호 장치를 제조하는 산업활동을 말한다. 스위치를 제조하는 경우도 포함한다.
&lt;예 시&gt;
·서지 억제기 제조
·계전기 제조
·전력 차단기 제조
·퓨즈 제조
·피뢰기 제조
·스위치 제조</t>
        </is>
      </c>
      <c r="G486" s="90" t="n">
        <v>90.2</v>
      </c>
      <c r="H486" s="90" t="n">
        <v>0</v>
      </c>
      <c r="I486" s="90" t="n">
        <v>10.5</v>
      </c>
    </row>
    <row r="487" ht="17.25" customHeight="1" s="66">
      <c r="A487" s="65" t="inlineStr">
        <is>
          <t>312002</t>
        </is>
      </c>
      <c r="B487" s="68" t="inlineStr">
        <is>
          <t>제조업</t>
        </is>
      </c>
      <c r="C487" s="68" t="inlineStr">
        <is>
          <t>전기장비 제조업</t>
        </is>
      </c>
      <c r="D487" s="68" t="inlineStr">
        <is>
          <t>전기 공급 및 제어장치 제조업</t>
        </is>
      </c>
      <c r="E487" s="68" t="inlineStr">
        <is>
          <t>전기회로 접속장치 제조업</t>
        </is>
      </c>
      <c r="F487" s="68" t="inlineStr">
        <is>
          <t>◦배전용 또는 기기용 전기회로의 상이한 각 부분을 접속시키기 위한 장치를 제조하는 산업활동을 말한다.
&lt;예 시&gt;
·전기 커넥터 제조        
·전기 터미널 제조         
·플러그와 잭 제조
·소켓 제조               
·램프 홀더(소켓) 제조     
·전기 접속자 제조(기기용)</t>
        </is>
      </c>
      <c r="G487" s="90" t="n">
        <v>90.2</v>
      </c>
      <c r="H487" s="90" t="n">
        <v>0</v>
      </c>
      <c r="I487" s="90" t="n">
        <v>10.4</v>
      </c>
    </row>
    <row r="488" ht="17.25" customHeight="1" s="66">
      <c r="A488" s="65" t="inlineStr">
        <is>
          <t>313001</t>
        </is>
      </c>
      <c r="B488" s="68" t="inlineStr">
        <is>
          <t>제조업</t>
        </is>
      </c>
      <c r="C488" s="68" t="inlineStr">
        <is>
          <t>전기장비 제조업</t>
        </is>
      </c>
      <c r="D488" s="68" t="inlineStr">
        <is>
          <t>절연선 및 케이블 제조업</t>
        </is>
      </c>
      <c r="E488" s="68" t="inlineStr">
        <is>
          <t>기타 절연선 및 케이블 제조업</t>
        </is>
      </c>
      <c r="F488" s="68" t="inlineStr">
        <is>
          <t>◦비철금속 등에 절연 물질을 피복하여 전기 및 통신용의 절연 피복선, 에나멜선, 알루미늄 절연선 및 절연 케이블, 절연 동축 케이블 등을 제조하는 산업활동을 말한다.
&lt;예 시&gt;
·절연 금속선 제조
·절연 금속 케이블 제조
&lt;제 외&gt;
·비절연 비철금속선 제조(272302,272900)
·비절연 금속 케이블 또는 전기 도체용으로 사용할 수 없는 피복 케이블 제조(289901)
·광섬유 케이블 제조(313003)
·절연선 및 케이블을 절단 가공하여 코드 세트를 제조(313002)</t>
        </is>
      </c>
      <c r="G488" s="90" t="n">
        <v>89.3</v>
      </c>
      <c r="H488" s="90" t="n">
        <v>0</v>
      </c>
      <c r="I488" s="90" t="n">
        <v>8.300000000000001</v>
      </c>
    </row>
    <row r="489" ht="17.25" customHeight="1" s="66">
      <c r="A489" s="65" t="inlineStr">
        <is>
          <t>313002</t>
        </is>
      </c>
      <c r="B489" s="68" t="inlineStr">
        <is>
          <t>제조업</t>
        </is>
      </c>
      <c r="C489" s="68" t="inlineStr">
        <is>
          <t>전기장비 제조업</t>
        </is>
      </c>
      <c r="D489" s="68" t="inlineStr">
        <is>
          <t>절연선 및 케이블 제조업</t>
        </is>
      </c>
      <c r="E489" s="68" t="inlineStr">
        <is>
          <t>절연 코드세트 및 기타 도체 제조업</t>
        </is>
      </c>
      <c r="F489" s="68" t="inlineStr">
        <is>
          <t>◦절연선 또는 절연 케이블로 가공 절연 코드 및 코드 세트를 제조하는 산업활동을 말한다. 대형 전기 기기 및 전기 제어장치에 사용되는 절연대 및 전기 절연 도체를 제조하는 산업활동도 포함한다.
&lt;예 시&gt;
·코드 세트 제조
·접속자가 부착된 전선 제조
·절연대 제조
·전기 절연 도체 제조(기기용)
·와이어 하니스 제조(비자동차용)</t>
        </is>
      </c>
      <c r="G489" s="90" t="n">
        <v>90.09999999999999</v>
      </c>
      <c r="H489" s="90" t="n">
        <v>0</v>
      </c>
      <c r="I489" s="90" t="n">
        <v>10.2</v>
      </c>
    </row>
    <row r="490" ht="17.25" customHeight="1" s="66">
      <c r="A490" s="65" t="inlineStr">
        <is>
          <t>313003</t>
        </is>
      </c>
      <c r="B490" s="68" t="inlineStr">
        <is>
          <t>제조업</t>
        </is>
      </c>
      <c r="C490" s="68" t="inlineStr">
        <is>
          <t>전기장비 제조업</t>
        </is>
      </c>
      <c r="D490" s="68" t="inlineStr">
        <is>
          <t>절연선 및 케이블 제조업</t>
        </is>
      </c>
      <c r="E490" s="68" t="inlineStr">
        <is>
          <t>광섬유 케이블 제조업</t>
        </is>
      </c>
      <c r="F490" s="68" t="inlineStr">
        <is>
          <t>◦광섬유에 절연 물질을 피복하여 광섬유 절연 피복선 또는 광섬유 절연 케이블을 제조하는 산업활동을 말한다.
&lt;예 시&gt;
·절연 광섬유 케이블 제조
·절연 피복 광섬유 제조
&lt;제 외&gt;
·절연 금속선 및 케이블 제조(313001)
·광섬유 제조(332003)</t>
        </is>
      </c>
      <c r="G490" s="90" t="n">
        <v>89.3</v>
      </c>
      <c r="H490" s="90" t="n">
        <v>0</v>
      </c>
      <c r="I490" s="90" t="n">
        <v>10.4</v>
      </c>
    </row>
    <row r="491" ht="17.25" customHeight="1" s="66">
      <c r="A491" s="65" t="inlineStr">
        <is>
          <t>314000</t>
        </is>
      </c>
      <c r="B491" s="68" t="inlineStr">
        <is>
          <t>제조업</t>
        </is>
      </c>
      <c r="C491" s="68" t="inlineStr">
        <is>
          <t>전기장비 제조업</t>
        </is>
      </c>
      <c r="D491" s="68" t="inlineStr">
        <is>
          <t>일차전지 및 이차전지 제조업</t>
        </is>
      </c>
      <c r="E491" s="68" t="inlineStr">
        <is>
          <t>운송장비용 이차전지 제조업,기타 이차전지 제조업</t>
        </is>
      </c>
      <c r="F491" s="68" t="inlineStr">
        <is>
          <t>◦운송장비용 리튬 이차전지 등 각종 이차전지와 그 부분품과 운송장비용 이외 리튬 이차전지 등 각종 용도의 축전지와 그 부분품을 제조하는 산업활동을 말한다. 이차전지(축전지)의 일반적 특성은 재충전성을 가진다.
&lt;예 시&gt;
·리튬 이온 이차전지 제조
·리튬 이온 폴리머 전지 제조       
·리튬 폴리머 전지 제조
·니켈 카드뮴 전지 제조       
·납(연)축전지 제조
·니켈 수소 전지 제조       
·축전지용 격리판 제조</t>
        </is>
      </c>
      <c r="G491" s="90" t="n">
        <v>90.7</v>
      </c>
      <c r="H491" s="90" t="n">
        <v>0</v>
      </c>
      <c r="I491" s="90" t="n">
        <v>14.6</v>
      </c>
    </row>
    <row r="492" ht="17.25" customHeight="1" s="66">
      <c r="A492" s="65" t="inlineStr">
        <is>
          <t>314001</t>
        </is>
      </c>
      <c r="B492" s="68" t="inlineStr">
        <is>
          <t>제조업</t>
        </is>
      </c>
      <c r="C492" s="68" t="inlineStr">
        <is>
          <t>전기장비 제조업</t>
        </is>
      </c>
      <c r="D492" s="68" t="inlineStr">
        <is>
          <t>일차전지 및 이차전지 제조업</t>
        </is>
      </c>
      <c r="E492" s="68" t="inlineStr">
        <is>
          <t>일차전지 제조업</t>
        </is>
      </c>
      <c r="F492" s="68" t="inlineStr">
        <is>
          <t>◦규모 및 용도를 불문하고 건식 또는 습식 등의 일차전지 및 그 부분품을 제조하는 산업활동을 말한다. 일차전지의 일반적 특성은 재충전성을 가지지 않는다.
&lt;예 시&gt;
·리튬 전지 제조
·알칼리 망가니즈 건전지 제조       
·망가니즈 건전지 제조
·수은 전지 제조</t>
        </is>
      </c>
      <c r="G492" s="90" t="n">
        <v>90.7</v>
      </c>
      <c r="H492" s="90" t="n">
        <v>0</v>
      </c>
      <c r="I492" s="90" t="n">
        <v>14.6</v>
      </c>
    </row>
    <row r="493" ht="17.25" customHeight="1" s="66">
      <c r="A493" s="65" t="inlineStr">
        <is>
          <t>315001</t>
        </is>
      </c>
      <c r="B493" s="68" t="inlineStr">
        <is>
          <t>제조업</t>
        </is>
      </c>
      <c r="C493" s="68" t="inlineStr">
        <is>
          <t>전기장비 제조업</t>
        </is>
      </c>
      <c r="D493" s="68" t="inlineStr">
        <is>
          <t>조명장치 제조업</t>
        </is>
      </c>
      <c r="E493" s="68" t="inlineStr">
        <is>
          <t>일반용 전기 조명장치 제조업</t>
        </is>
      </c>
      <c r="F493" s="68" t="inlineStr">
        <is>
          <t>◦실내, 실외를 구분하지 않고 장소나 대상을 밝게 비추는 가정용, 사무실용, 공장용 등의 각종 일반용 전기 조명장치를 제조하는 산업활동을 말한다. 휴대용 조명장치와 비전기식 조명장치 제조는 제외된다.
&lt;예 시&gt;
·가정용 조명기구 제조
·사무실용 조명기구 제조       
·가로등 제조
·스탠드 제조
&lt;제 외&gt;
·광고용 조명장치 제조(315002)
·교통 신호장치 제조(319005)
·운송장비용 조명장치 제조(319001)
·의료 검사용 조명등 제조(331102)</t>
        </is>
      </c>
      <c r="G493" s="90" t="n">
        <v>91.40000000000001</v>
      </c>
      <c r="H493" s="90" t="n">
        <v>0</v>
      </c>
      <c r="I493" s="90" t="n">
        <v>9.5</v>
      </c>
    </row>
    <row r="494" ht="17.25" customHeight="1" s="66">
      <c r="A494" s="65" t="inlineStr">
        <is>
          <t>315002</t>
        </is>
      </c>
      <c r="B494" s="68" t="inlineStr">
        <is>
          <t>제조업</t>
        </is>
      </c>
      <c r="C494" s="68" t="inlineStr">
        <is>
          <t>전기장비 제조업</t>
        </is>
      </c>
      <c r="D494" s="68" t="inlineStr">
        <is>
          <t>조명장치 제조업</t>
        </is>
      </c>
      <c r="E494" s="68" t="inlineStr">
        <is>
          <t>전시 및 광고용 조명장치 제조업</t>
        </is>
      </c>
      <c r="F494" s="68" t="inlineStr">
        <is>
          <t>◦장소나 대상을 비추는 것이 목적이 아닌 광고용, 전시용의 각종 전기 조명장치를 제조하는 산업활동을 말한다.
&lt;예 시&gt;
·조명 광고판 제조
·조명 네임 플레이트 제조
·장식용 조명판 제조
·광고용 조명판 제조
·네온류(수은, 네온, 아르곤 등) 광고판 제조
·크리스마스 장식용 조명 세트 제조
·LED, 액정 표시장치 등 전자식 발광 또는 화면 변화 광고판 제조
·표시등 제조
&lt;제 외&gt;
·고정된 광원을 갖지 않은 광고판 제조(369503)</t>
        </is>
      </c>
      <c r="G494" s="90" t="n">
        <v>88.2</v>
      </c>
      <c r="H494" s="90" t="n">
        <v>0</v>
      </c>
      <c r="I494" s="90" t="n">
        <v>8.9</v>
      </c>
    </row>
    <row r="495" ht="17.25" customHeight="1" s="66">
      <c r="A495" s="65" t="inlineStr">
        <is>
          <t>315003</t>
        </is>
      </c>
      <c r="B495" s="68" t="inlineStr">
        <is>
          <t>제조업</t>
        </is>
      </c>
      <c r="C495" s="68" t="inlineStr">
        <is>
          <t>전기장비 제조업</t>
        </is>
      </c>
      <c r="D495" s="68" t="inlineStr">
        <is>
          <t>전구 및 램프 제조업</t>
        </is>
      </c>
      <c r="E495" s="68" t="inlineStr">
        <is>
          <t>전구 및 램프 제조업</t>
        </is>
      </c>
      <c r="F495" s="68" t="inlineStr">
        <is>
          <t>◦각종 전구 및 램프를 제조하는 산업활동을 말한다.
&lt;예 시&gt;
·백열 전구 제조
·형광 램프 제조
·방전 램프 제조
·살균 램프 제조
·섬광 전구 제조
·아크 램프 제조
·산업용 전구 제조
·장식용 전구 제조
&lt;제 외&gt;
·전구가 결합되는 각종 용도의 조명장치 제조(315001,315002,319001)
·의료용 검사 램프 제조(331102)</t>
        </is>
      </c>
      <c r="G495" s="90" t="n">
        <v>91.40000000000001</v>
      </c>
      <c r="H495" s="90" t="n">
        <v>0</v>
      </c>
      <c r="I495" s="90" t="n">
        <v>11.4</v>
      </c>
    </row>
    <row r="496" ht="17.25" customHeight="1" s="66">
      <c r="A496" s="65" t="inlineStr">
        <is>
          <t>315005</t>
        </is>
      </c>
      <c r="B496" s="68" t="inlineStr">
        <is>
          <t>제조업</t>
        </is>
      </c>
      <c r="C496" s="68" t="inlineStr">
        <is>
          <t>전기장비 제조업</t>
        </is>
      </c>
      <c r="D496" s="68" t="inlineStr">
        <is>
          <t>조명장치 제조업</t>
        </is>
      </c>
      <c r="E496" s="68" t="inlineStr">
        <is>
          <t>기타 조명장치 제조업</t>
        </is>
      </c>
      <c r="F496" s="68" t="inlineStr">
        <is>
          <t>◦휴대용 조명장치와 기타 비전기식 조명등 및 조명기구를 제조하는 산업활동을 말한다.
&lt;예 시&gt; 
·휴대용 조명장치 제조
·램프 등 비전기식 조명장치 제조
&lt;제 외&gt;
·광고용 조명장치 제조(315002)
·교통신호장치 제조(319005)
·의료검사용 조명등 제조(331102)</t>
        </is>
      </c>
      <c r="G496" s="90" t="n">
        <v>91.40000000000001</v>
      </c>
      <c r="H496" s="90" t="n">
        <v>0</v>
      </c>
      <c r="I496" s="90" t="n">
        <v>11.4</v>
      </c>
    </row>
    <row r="497" ht="17.25" customHeight="1" s="66">
      <c r="A497" s="65" t="inlineStr">
        <is>
          <t>319001</t>
        </is>
      </c>
      <c r="B497" s="68" t="inlineStr">
        <is>
          <t>제조업</t>
        </is>
      </c>
      <c r="C497" s="68" t="inlineStr">
        <is>
          <t>전기장비 제조업</t>
        </is>
      </c>
      <c r="D497" s="68" t="inlineStr">
        <is>
          <t>조명장치 제조업</t>
        </is>
      </c>
      <c r="E497" s="68" t="inlineStr">
        <is>
          <t>운송장비용 조명장치 제조업</t>
        </is>
      </c>
      <c r="F497" s="68" t="inlineStr">
        <is>
          <t>◦차량, 선박, 철도 차량, 항공기, 오토바이, 자전거 등 운송장비에 적용되는 조명장치를 제조하는 산업활동을 말한다.
&lt;예 시&gt;
·운송장비용 조명 기구 제조
·시각 신호용(운송장비) 기구 제조       
·자전거용 조명장치 제조
&lt;제 외&gt;
·자동차 내연기관용 전기장치 및 배선장치 제조(343004)
·와이퍼, 제상기, 제무기 등 차량용 전기장치(조명장치 제외) 제조(343004)</t>
        </is>
      </c>
      <c r="G497" s="90" t="n">
        <v>90</v>
      </c>
      <c r="H497" s="90" t="n">
        <v>0</v>
      </c>
      <c r="I497" s="90" t="n">
        <v>10.6</v>
      </c>
    </row>
    <row r="498" ht="17.25" customHeight="1" s="66">
      <c r="A498" s="65" t="inlineStr">
        <is>
          <t>319002</t>
        </is>
      </c>
      <c r="B498" s="68" t="inlineStr">
        <is>
          <t>제조업</t>
        </is>
      </c>
      <c r="C498" s="68" t="inlineStr">
        <is>
          <t>전기장비 제조업</t>
        </is>
      </c>
      <c r="D498" s="68" t="inlineStr">
        <is>
          <t>기타 전기장비 제조업</t>
        </is>
      </c>
      <c r="E498" s="68" t="inlineStr">
        <is>
          <t>그 외 기타 전기장비 제조업</t>
        </is>
      </c>
      <c r="F498" s="68" t="inlineStr">
        <is>
          <t>◦전기 저항체를 갖춘 신호 발생기, 광맥 탐지기, 전기 도금용 또는 전기 분해용 기기, 운송장비용(자동차용 제외)의 제무기, 제상기 및 전기적 기능으로 작동되는 기타 전기 또는 전자장비를 제조하는 산업활동을 말한다. 전자석과 전자석 커플링◦클러치 및 브레이크◦리프팅 헤드, 전기 용접기 및 초음파 세척기(실험실용 및 치과용 제외)를 제조하는 산업활동도 포함한다.
&lt;예 시&gt;
·미립자 가속기 제조
·전기식 오존 발생기 제조
·전기 영동용 기기 제조
·자외선 조사 기기 제조
·전자석 제조
·전기식 용접기 제조
·초음파 세척기(실험실용, 치과용 제외) 제조
·항공용 엔진 점화장치 및 기타 전기 부품 제조
&lt;제 외&gt;
·자동차용 제무기 및 제상기 제조(343004)
·전기 용접기 이외의 용접기 제조(291911)
·실험실용 및 치과용 초음파 세척기 제조(331102)
·전자석을 제외한 고무, 플라스틱, 금속, 세라믹 및 페라이트제 자석을 제조하는 경우에는 그 재료에 따라 분류</t>
        </is>
      </c>
      <c r="G498" s="90" t="n">
        <v>90.5</v>
      </c>
      <c r="H498" s="90" t="n">
        <v>0</v>
      </c>
      <c r="I498" s="90" t="n">
        <v>10</v>
      </c>
    </row>
    <row r="499" ht="17.25" customHeight="1" s="66">
      <c r="A499" s="65" t="inlineStr">
        <is>
          <t>319003</t>
        </is>
      </c>
      <c r="B499" s="68" t="inlineStr">
        <is>
          <t>제조업</t>
        </is>
      </c>
      <c r="C499" s="68" t="inlineStr">
        <is>
          <t>전기장비 제조업</t>
        </is>
      </c>
      <c r="D499" s="68" t="inlineStr">
        <is>
          <t>기타 전기장비 제조업</t>
        </is>
      </c>
      <c r="E499" s="68" t="inlineStr">
        <is>
          <t>전기 경보 및 신호장치 제조업</t>
        </is>
      </c>
      <c r="F499" s="68" t="inlineStr">
        <is>
          <t>◦전기식의 음향 또는 시각용 경보장치를 제조하는 산업활동을 말한다. 수동식 또는 자동식으로 작동되는 경우를 모두 포함한다.
&lt;예 시&gt;
·도난 경보기 제조
·화재 경보기 제조
·음향 신호장치 제조
·전기 신호식 호출기기 제조
·가스 경보기 제조
·전기식 벨, 초인종, 버저 제조
&lt;제 외&gt;
·차량용 조명장치 제조(319001)
·교통 신호장치 제조(319005)
·영상용 모니터 결합 여부를 불문한 인터폰 제조(322002)
·중앙통제실 송신용 칩입 및 화재경보 시스템 제조(322002)</t>
        </is>
      </c>
      <c r="G499" s="90" t="n">
        <v>90.5</v>
      </c>
      <c r="H499" s="90" t="n">
        <v>0</v>
      </c>
      <c r="I499" s="90" t="n">
        <v>13.1</v>
      </c>
    </row>
    <row r="500" ht="17.25" customHeight="1" s="66">
      <c r="A500" s="65" t="inlineStr">
        <is>
          <t>319004</t>
        </is>
      </c>
      <c r="B500" s="68" t="inlineStr">
        <is>
          <t>제조업</t>
        </is>
      </c>
      <c r="C500" s="68" t="inlineStr">
        <is>
          <t>전기장비 제조업</t>
        </is>
      </c>
      <c r="D500" s="68" t="inlineStr">
        <is>
          <t>기타 전기장비 제조업</t>
        </is>
      </c>
      <c r="E500" s="68" t="inlineStr">
        <is>
          <t>전기용 탄소제품 및 절연제품 제조업</t>
        </is>
      </c>
      <c r="F500" s="68" t="inlineStr">
        <is>
          <t>◦전기용 흑연 및 탄소 제품과 기타 절연체를 제조하는 산업활동을 말한다.
&lt;예 시&gt;
·전기 절연장비 제조
·램프용 탄소제품 제조
·전기용 탄소 브러시(brush) 제조
·조립된 애자 제조
·절연체 및 절연 부착물 제조
·절연재료가 결합된 전선용 도관 및 그 연결구류 제조
&lt;제 외&gt;
·유리(261008) 및 도자제 애자(269101) 제조</t>
        </is>
      </c>
      <c r="G500" s="90" t="n">
        <v>90.5</v>
      </c>
      <c r="H500" s="90" t="n">
        <v>0</v>
      </c>
      <c r="I500" s="90" t="n">
        <v>13.1</v>
      </c>
    </row>
    <row r="501" ht="17.25" customHeight="1" s="66">
      <c r="A501" s="65" t="inlineStr">
        <is>
          <t>319005</t>
        </is>
      </c>
      <c r="B501" s="68" t="inlineStr">
        <is>
          <t>제조업</t>
        </is>
      </c>
      <c r="C501" s="68" t="inlineStr">
        <is>
          <t>전기장비 제조업</t>
        </is>
      </c>
      <c r="D501" s="68" t="inlineStr">
        <is>
          <t>기타 전기장비 제조업</t>
        </is>
      </c>
      <c r="E501" s="68" t="inlineStr">
        <is>
          <t>교통 신호장치 제조업</t>
        </is>
      </c>
      <c r="F501" s="68" t="inlineStr">
        <is>
          <t>◦전기식 신호장치 및 안전장치 등 교통통제용 전기장치를 제조하는 산업활동을 말한다.
&lt;예 시&gt;
·교통 음향 신호장치 제조
·교통 시각 신호장치 제조
·교통 통제용 전기장치 제조
&lt;제 외&gt;
·막대형 교통 통제기 등 기계식 혹은 전기 기계식의 건널목, 철도, 주차장 통제장치 제조(352000)</t>
        </is>
      </c>
      <c r="G501" s="90" t="n">
        <v>90.5</v>
      </c>
      <c r="H501" s="90" t="n">
        <v>0</v>
      </c>
      <c r="I501" s="90" t="n">
        <v>13.1</v>
      </c>
    </row>
    <row r="502" ht="17.25" customHeight="1" s="66">
      <c r="A502" s="65" t="inlineStr">
        <is>
          <t>321000</t>
        </is>
      </c>
      <c r="B502" s="68" t="inlineStr">
        <is>
          <t>제조업</t>
        </is>
      </c>
      <c r="C502" s="68" t="inlineStr">
        <is>
          <t>전자 부품, 컴퓨터, 영상, 음향 및 통신장비 제조업</t>
        </is>
      </c>
      <c r="D502" s="68" t="inlineStr">
        <is>
          <t>다이오드, 트랜지스터 및 유사 반도체 소자 제조업</t>
        </is>
      </c>
      <c r="E502" s="68" t="inlineStr">
        <is>
          <t>기타 반도체 소자 제조업</t>
        </is>
      </c>
      <c r="F502" s="68" t="inlineStr">
        <is>
          <t>◦광전도 셀을 포함하여 다이오드(LED 제외), 트랜지스터 및 기타 이와 유사한 반도체 소자, 수정 진동자 등 장착된 압전기 결정 소자를 제조하는 산업활동을 말한다.
&lt;예 시&gt;
·수정 진동자 제조
·장착된 압전기 결정 소자 제조
·광전도 셀 제조
·다이리스터, 다이액과 트라이액 제조
·저마늄 다이오드 제조
·실리콘 트랜지스터 제조
·광전지, 태양전지</t>
        </is>
      </c>
      <c r="G502" s="90" t="n">
        <v>90.7</v>
      </c>
      <c r="H502" s="90" t="n">
        <v>0</v>
      </c>
      <c r="I502" s="90" t="n">
        <v>10.2</v>
      </c>
    </row>
    <row r="503" ht="17.25" customHeight="1" s="66">
      <c r="A503" s="65" t="inlineStr">
        <is>
          <t>321001</t>
        </is>
      </c>
      <c r="B503" s="68" t="inlineStr">
        <is>
          <t>제조업</t>
        </is>
      </c>
      <c r="C503" s="68" t="inlineStr">
        <is>
          <t>전자 부품, 컴퓨터, 영상, 음향 및 통신장비 제조업</t>
        </is>
      </c>
      <c r="D503" s="68" t="inlineStr">
        <is>
          <t>기타 전자 부품 제조업</t>
        </is>
      </c>
      <c r="E503" s="68" t="inlineStr">
        <is>
          <t>그 외 기타 전자 부품 제조업</t>
        </is>
      </c>
      <c r="F503" s="68" t="inlineStr">
        <is>
          <t>◦진공 또는 가스가 봉입된 상태에서 음극으로부터 방출되는 전자의 작용을 이용하는 열전자관, 냉음극관, 광전관 등 라디오 및 텔레비전 수상기용 전자관, 산업용 및 기타 특수 목적용 전자관 및 부분품을 제조하는 산업활동과 사운드 카드, 비디오 카드, 네트워크 카드, 모뎀 등 전자 접속 카드(인터페이스 카드)를 제조하는 산업활동 및 그 외 기타 전자 부품을 제조하는 산업활동을 말한다.
&lt;예 시&gt;
·영상변화관 제조
·마이크로 웨이브관 제조
·영상증강관 제조
·송신기용 열전자관 제조
·광전관 제조
·텔레비전용 촬상관 제조
·수신관 제조
·텔레비전용 음극선관 제조
·증폭관 제조
·방전관 제조
·디플렉션 코일 제조
·섀도마스크 제조
·전자총 제조
·리드프레임 제조
·전자 접속자 제조
·인쇄회로 사진원판(포토 마스크) 제조
·사운드 카드 제조
·비디오 카드(비디오 어댑터) 제조
·네트워크 카드(랜카드) 제조
·모뎀 제조
·컴퓨터용 모뎀 제조
&lt;제 외&gt;&gt;
·전자 변성기, 전자 코일 및 유도자 제조(311001)
·엑스선 장치 제조(331103)</t>
        </is>
      </c>
      <c r="G503" s="90" t="n">
        <v>90.7</v>
      </c>
      <c r="H503" s="90" t="n">
        <v>0</v>
      </c>
      <c r="I503" s="90" t="n">
        <v>11.2</v>
      </c>
    </row>
    <row r="504" ht="17.25" customHeight="1" s="66">
      <c r="A504" s="65" t="inlineStr">
        <is>
          <t>321002</t>
        </is>
      </c>
      <c r="B504" s="68" t="inlineStr">
        <is>
          <t>제조업</t>
        </is>
      </c>
      <c r="C504" s="68" t="inlineStr">
        <is>
          <t>전자 부품, 컴퓨터, 영상, 음향 및 통신장비 제조업</t>
        </is>
      </c>
      <c r="D504" s="68" t="inlineStr">
        <is>
          <t>전자집적회로 제조업</t>
        </is>
      </c>
      <c r="E504" s="68" t="inlineStr">
        <is>
          <t>메모리용 전자집적회로 제조업</t>
        </is>
      </c>
      <c r="F504" s="68" t="inlineStr">
        <is>
          <t>◦정보를 저장할 수 있는 휘발성 및 비휘발성 모노리식 모스 메모리용 전자집적회로(RAM, ROM)를 제조하는 산업활동을 말한다.
&lt;예 시&gt;
·휘발성 메모리용 전자집적회로(DRAM, SRAM, VRAM 등) 제조
·비휘발성 메모리용 전자집적회로(mask ROM, EPROM, EEPROM, flash 메모리 등) 제조
&lt;제 외&gt;
·모노리식 바이폴라 전자집적회로 제조(321003)
·모노리식 모스 비메모리용 전자집적회로 제조(321003)
·아날로그 및 혼성 전자집적회로 제조(321003)</t>
        </is>
      </c>
      <c r="G504" s="90" t="n">
        <v>90.7</v>
      </c>
      <c r="H504" s="90" t="n">
        <v>0</v>
      </c>
      <c r="I504" s="90" t="n">
        <v>12.8</v>
      </c>
    </row>
    <row r="505" ht="17.25" customHeight="1" s="66">
      <c r="A505" s="65" t="inlineStr">
        <is>
          <t>321003</t>
        </is>
      </c>
      <c r="B505" s="68" t="inlineStr">
        <is>
          <t>제조업</t>
        </is>
      </c>
      <c r="C505" s="68" t="inlineStr">
        <is>
          <t>전자 부품, 컴퓨터, 영상, 음향 및 통신장비 제조업</t>
        </is>
      </c>
      <c r="D505" s="68" t="inlineStr">
        <is>
          <t>전자집적회로 제조업</t>
        </is>
      </c>
      <c r="E505" s="68" t="inlineStr">
        <is>
          <t>비메모리용 및 기타 전자집적회로 제조업</t>
        </is>
      </c>
      <c r="F505" s="68" t="inlineStr">
        <is>
          <t>◦정보 저장없이 논리, 연산 또는 제어 기능 등을 수행하는 시스템 전자집적회로 등을 제조하는 산업활동을 말한다.
&lt;예 시&gt;
·시스템 IC(마이크로 컴포넌트, ASIC 로직, 아날로그 IC, LDI 등) 제조
·모노리식 바이폴라 IC, 모스 비메모리용 IC 제조
·아날로그 및 혼성 전자집적회로 제조</t>
        </is>
      </c>
      <c r="G505" s="90" t="n">
        <v>90.7</v>
      </c>
      <c r="H505" s="90" t="n">
        <v>0</v>
      </c>
      <c r="I505" s="90" t="n">
        <v>12.8</v>
      </c>
    </row>
    <row r="506" ht="17.25" customHeight="1" s="66">
      <c r="A506" s="65" t="inlineStr">
        <is>
          <t>321004</t>
        </is>
      </c>
      <c r="B506" s="68" t="inlineStr">
        <is>
          <t>제조업</t>
        </is>
      </c>
      <c r="C506" s="68" t="inlineStr">
        <is>
          <t>전자 부품, 컴퓨터, 영상, 음향 및 통신장비 제조업</t>
        </is>
      </c>
      <c r="D506" s="68" t="inlineStr">
        <is>
          <t>다이오드, 트랜지스터 및 유사 반도체 소자 제조업</t>
        </is>
      </c>
      <c r="E506" s="68" t="inlineStr">
        <is>
          <t>발광 다이오드 제조업</t>
        </is>
      </c>
      <c r="F506" s="68" t="inlineStr">
        <is>
          <t>◦갈륨비소, 형광성 유기 화합물 등에 전류를 흘려 빛을 발산하는 반도체 소자인 발광 다이오드(LED)를 제조하는 산업활동을 말한다.
&lt;예 시&gt;
·발광 다이오드(LED) 제조업
·유기 발광 다이오드(OLED) 제조업
&lt;제 외&gt;
·기타 다이오드 제조업(321000)
·기타 반도체 소자 제조업(321000)</t>
        </is>
      </c>
      <c r="G506" s="90" t="n">
        <v>90.7</v>
      </c>
      <c r="H506" s="90" t="n">
        <v>0</v>
      </c>
      <c r="I506" s="90" t="n">
        <v>12.8</v>
      </c>
    </row>
    <row r="507" ht="17.25" customHeight="1" s="66">
      <c r="A507" s="65" t="inlineStr">
        <is>
          <t>321005</t>
        </is>
      </c>
      <c r="B507" s="68" t="inlineStr">
        <is>
          <t>제조업</t>
        </is>
      </c>
      <c r="C507" s="68" t="inlineStr">
        <is>
          <t>전자 부품, 컴퓨터, 영상, 음향 및 통신장비 제조업</t>
        </is>
      </c>
      <c r="D507" s="68" t="inlineStr">
        <is>
          <t>표시장치 제조업</t>
        </is>
      </c>
      <c r="E507" s="68" t="inlineStr">
        <is>
          <t>액정 표시장치 제조업</t>
        </is>
      </c>
      <c r="F507" s="68" t="inlineStr">
        <is>
          <t>◦각종 형상의 액정 표시장치(LCD 디스플레이) 모듈 및 부분품을 제조하는 산업활동으로서 전기 접속자의 부착 여부를 불문한다. 다른 부품이 결합되어 특정 제품화된 경우는 제외한다.
&lt;예 시&gt;
·TV용 LCD 제조
·컴퓨터용 LCD 제조
·휴대 전자기기용 LCD 제조
&lt;제 외&gt;
·표시장치가 특정 기능을 갖는 제품에 결합된 경우에는 해당 제품 특성에 따라 분류
·액정액 제조(242907)
·컴퓨터 모니터 제조(300103)
·텔레비전 제조(323005)</t>
        </is>
      </c>
      <c r="G507" s="90" t="n">
        <v>90.7</v>
      </c>
      <c r="H507" s="90" t="n">
        <v>0</v>
      </c>
      <c r="I507" s="90" t="n">
        <v>12.4</v>
      </c>
    </row>
    <row r="508" ht="17.25" customHeight="1" s="66">
      <c r="A508" s="65" t="inlineStr">
        <is>
          <t>321006</t>
        </is>
      </c>
      <c r="B508" s="68" t="inlineStr">
        <is>
          <t>제조업</t>
        </is>
      </c>
      <c r="C508" s="68" t="inlineStr">
        <is>
          <t>전자 부품, 컴퓨터, 영상, 음향 및 통신장비 제조업</t>
        </is>
      </c>
      <c r="D508" s="68" t="inlineStr">
        <is>
          <t>표시장치 제조업</t>
        </is>
      </c>
      <c r="E508" s="68" t="inlineStr">
        <is>
          <t>유기 발광 표시장치 제조업</t>
        </is>
      </c>
      <c r="F508" s="68" t="inlineStr">
        <is>
          <t>◦형광성 유기 화합물 등 자체 발광형 유기 물질을 이용한 표시장치를 제조하는 산업활동으로서 전기 접속자의 부착 여부를 불문한다. 다른 부품이 결합되어 특정 제품화된 경우는 제외한다.
&lt;예 시&gt;
·OLED 표시장치 제조</t>
        </is>
      </c>
      <c r="G508" s="90" t="n">
        <v>90.7</v>
      </c>
      <c r="H508" s="90" t="n">
        <v>0</v>
      </c>
      <c r="I508" s="90" t="n">
        <v>12.4</v>
      </c>
    </row>
    <row r="509" ht="17.25" customHeight="1" s="66">
      <c r="A509" s="65" t="inlineStr">
        <is>
          <t>321007</t>
        </is>
      </c>
      <c r="B509" s="68" t="inlineStr">
        <is>
          <t>제조업</t>
        </is>
      </c>
      <c r="C509" s="68" t="inlineStr">
        <is>
          <t>전자 부품, 컴퓨터, 영상, 음향 및 통신장비 제조업</t>
        </is>
      </c>
      <c r="D509" s="68" t="inlineStr">
        <is>
          <t>표시장치 제조업</t>
        </is>
      </c>
      <c r="E509" s="68" t="inlineStr">
        <is>
          <t>기타 표시장치 제조업</t>
        </is>
      </c>
      <c r="F509" s="68" t="inlineStr">
        <is>
          <t>◦플라즈마 디스플레이(PDP) 등 기타 표시장치 모듈 및 부분품을 제조하는 산업활동으로서 전기 접속자의 부착 여부를 불문한다.
&lt;예 시&gt;
·플라즈마 디스플레이 모듈 및 부분품 제조
&lt;제 외&gt;
·컴퓨터 모니터 제조(300103)
·텔레비전 제조(323005)</t>
        </is>
      </c>
      <c r="G509" s="90" t="n">
        <v>90.7</v>
      </c>
      <c r="H509" s="90" t="n">
        <v>0</v>
      </c>
      <c r="I509" s="90" t="n">
        <v>12.4</v>
      </c>
    </row>
    <row r="510" ht="17.25" customHeight="1" s="66">
      <c r="A510" s="65" t="inlineStr">
        <is>
          <t>321008</t>
        </is>
      </c>
      <c r="B510" s="68" t="inlineStr">
        <is>
          <t>제조업</t>
        </is>
      </c>
      <c r="C510" s="68" t="inlineStr">
        <is>
          <t>전자 부품, 컴퓨터, 영상, 음향 및 통신장비 제조업</t>
        </is>
      </c>
      <c r="D510" s="68" t="inlineStr">
        <is>
          <t>인쇄회로기판 및 전자부품 실장기판 제조업</t>
        </is>
      </c>
      <c r="E510" s="68" t="inlineStr">
        <is>
          <t>인쇄회로기판용 적층판 제조업</t>
        </is>
      </c>
      <c r="F510" s="68" t="inlineStr">
        <is>
          <t>◦인쇄회로기판 제조에 사용되는 페놀 동박 적층판, 에폭시 동박 적층판 등을 제조하는 산업활동을 말한다.
&lt;예 시&gt;
·에폭시, 페놀 동박 적층판 제조
·기타 인쇄회로 원판 제조</t>
        </is>
      </c>
      <c r="G510" s="90" t="n">
        <v>90.7</v>
      </c>
      <c r="H510" s="90" t="n">
        <v>0</v>
      </c>
      <c r="I510" s="90" t="n">
        <v>7.8</v>
      </c>
    </row>
    <row r="511" ht="17.25" customHeight="1" s="66">
      <c r="A511" s="65" t="inlineStr">
        <is>
          <t>321009</t>
        </is>
      </c>
      <c r="B511" s="68" t="inlineStr">
        <is>
          <t>제조업</t>
        </is>
      </c>
      <c r="C511" s="68" t="inlineStr">
        <is>
          <t>전자 부품, 컴퓨터, 영상, 음향 및 통신장비 제조업</t>
        </is>
      </c>
      <c r="D511" s="68" t="inlineStr">
        <is>
          <t>인쇄회로기판 및 전자부품 실장기판 제조업</t>
        </is>
      </c>
      <c r="E511" s="68" t="inlineStr">
        <is>
          <t>경성 인쇄회로기판 제조업</t>
        </is>
      </c>
      <c r="F511" s="68" t="inlineStr">
        <is>
          <t>◦페놀, 에폭시 수지 등 경질의 절연재료로 만든 인쇄회로기판을 제조하는 산업활동을 말한다.
&lt;예 시&gt;
·에폭시 인쇄회로기판 제조
·페놀 인쇄배선기판 제조
&lt;제 외&gt;
·전자 초소형 집적회로 제조(321002, 321003)
·인쇄회로기판에 각종 전자 부품을 실장(321012)
·휴대기기용 연성 인쇄회로기판 제조(321011)</t>
        </is>
      </c>
      <c r="G511" s="90" t="n">
        <v>90.7</v>
      </c>
      <c r="H511" s="90" t="n">
        <v>0</v>
      </c>
      <c r="I511" s="90" t="n">
        <v>12.4</v>
      </c>
    </row>
    <row r="512" ht="17.25" customHeight="1" s="66">
      <c r="A512" s="65" t="inlineStr">
        <is>
          <t>321011</t>
        </is>
      </c>
      <c r="B512" s="68" t="inlineStr">
        <is>
          <t>제조업</t>
        </is>
      </c>
      <c r="C512" s="68" t="inlineStr">
        <is>
          <t>전자 부품, 컴퓨터, 영상, 음향 및 통신장비 제조업</t>
        </is>
      </c>
      <c r="D512" s="68" t="inlineStr">
        <is>
          <t>인쇄회로기판 및 전자부품 실장기판 제조업</t>
        </is>
      </c>
      <c r="E512" s="68" t="inlineStr">
        <is>
          <t>연성 및 기타 인쇄회로기판 제조업</t>
        </is>
      </c>
      <c r="F512" s="68" t="inlineStr">
        <is>
          <t>◦폴리이미드(Polyimide) 수지 등 연질의 절연 재료로 만든 인쇄회로기판을 제조하거나, 그 외 복합성 인쇄회로기판을 제조하는 산업활동을 말한다.
&lt;예 시&gt;
·단면형, 양면형, 다층형 FPCB 제조
·경성 및 연성 PCB 결합 제품 제조</t>
        </is>
      </c>
      <c r="G512" s="90" t="n">
        <v>90.7</v>
      </c>
      <c r="H512" s="90" t="n">
        <v>0</v>
      </c>
      <c r="I512" s="90" t="n">
        <v>12.4</v>
      </c>
    </row>
    <row r="513" ht="17.25" customHeight="1" s="66">
      <c r="A513" s="65" t="inlineStr">
        <is>
          <t>321012</t>
        </is>
      </c>
      <c r="B513" s="68" t="inlineStr">
        <is>
          <t>제조업</t>
        </is>
      </c>
      <c r="C513" s="68" t="inlineStr">
        <is>
          <t>전자 부품, 컴퓨터, 영상, 음향 및 통신장비 제조업</t>
        </is>
      </c>
      <c r="D513" s="68" t="inlineStr">
        <is>
          <t>인쇄회로기판 및 전자부품 실장기판 제조업</t>
        </is>
      </c>
      <c r="E513" s="68" t="inlineStr">
        <is>
          <t>전자 부품 실장기판 제조업</t>
        </is>
      </c>
      <c r="F513" s="68" t="inlineStr">
        <is>
          <t>◦표면 실장기술 등으로 인쇄회로기판에 전자 부품을 실장하는 산업활동을 말한다.
&lt;예 시&gt;
·표면 실장기술에 의한 전자부품 실장
·인쇄회로 조립품 제조
&lt;제 외&gt;
·인쇄회로기판에 전자 부품을 실장한 후 추가 조립공정을 거쳐 특정 기기 전용 구성품을 제조하는 경우에는 해당 기기 종류에 따라 분류</t>
        </is>
      </c>
      <c r="G513" s="90" t="n">
        <v>90.7</v>
      </c>
      <c r="H513" s="90" t="n">
        <v>0</v>
      </c>
      <c r="I513" s="90" t="n">
        <v>4.9</v>
      </c>
    </row>
    <row r="514" ht="17.25" customHeight="1" s="66">
      <c r="A514" s="65" t="inlineStr">
        <is>
          <t>321013</t>
        </is>
      </c>
      <c r="B514" s="68" t="inlineStr">
        <is>
          <t>제조업</t>
        </is>
      </c>
      <c r="C514" s="68" t="inlineStr">
        <is>
          <t>전자 부품, 컴퓨터, 영상, 음향 및 통신장비 제조업</t>
        </is>
      </c>
      <c r="D514" s="68" t="inlineStr">
        <is>
          <t>기타 전자 부품 제조업</t>
        </is>
      </c>
      <c r="E514" s="68" t="inlineStr">
        <is>
          <t>전자 축전기 제조업</t>
        </is>
      </c>
      <c r="F514" s="68" t="inlineStr">
        <is>
          <t>◦전자 기기용 축전기(고정식, 가변식 또는 조정식)를 제조하는 산업활동을 말한다.
&lt;예 시&gt;
·전자 축전기(콘덴서) 부분품 제조
·전자 축전기 제조
·전기 축전기 제조(고정식, 가변식 또는 조정식)
&lt;제 외&gt;
·축전지 제조(314000)</t>
        </is>
      </c>
      <c r="G514" s="90" t="n">
        <v>90.7</v>
      </c>
      <c r="H514" s="90" t="n">
        <v>0</v>
      </c>
      <c r="I514" s="90" t="n">
        <v>12.4</v>
      </c>
    </row>
    <row r="515" ht="17.25" customHeight="1" s="66">
      <c r="A515" s="65" t="inlineStr">
        <is>
          <t>321014</t>
        </is>
      </c>
      <c r="B515" s="68" t="inlineStr">
        <is>
          <t>제조업</t>
        </is>
      </c>
      <c r="C515" s="68" t="inlineStr">
        <is>
          <t>전자 부품, 컴퓨터, 영상, 음향 및 통신장비 제조업</t>
        </is>
      </c>
      <c r="D515" s="68" t="inlineStr">
        <is>
          <t>기타 전자 부품 제조업</t>
        </is>
      </c>
      <c r="E515" s="68" t="inlineStr">
        <is>
          <t>전자저항기 및 전자카드 제조업</t>
        </is>
      </c>
      <c r="F515" s="68" t="inlineStr">
        <is>
          <t>◦고정식 또는 가변 전자 저항기를 제조하는 산업활동으로서 가감 저항기와 전위차계를 제조하는 산업활동도 포함한다.
&lt;예 시&gt;
·가감 저항기 제조
·전자 저항기 제조
·써머스터 제조
·가변 저항기(배리스터) 제조
&lt;제 외&gt;
·가정용 등 전기 기기 전열 저항체 제조(293001,293002,293005)</t>
        </is>
      </c>
      <c r="G515" s="90" t="n">
        <v>90.7</v>
      </c>
      <c r="H515" s="90" t="n">
        <v>0</v>
      </c>
      <c r="I515" s="90" t="n">
        <v>12.4</v>
      </c>
    </row>
    <row r="516" ht="17.25" customHeight="1" s="66">
      <c r="A516" s="65" t="inlineStr">
        <is>
          <t>321015</t>
        </is>
      </c>
      <c r="B516" s="68" t="inlineStr">
        <is>
          <t>제조업</t>
        </is>
      </c>
      <c r="C516" s="68" t="inlineStr">
        <is>
          <t>전자 부품, 컴퓨터, 영상, 음향 및 통신장비 제조업</t>
        </is>
      </c>
      <c r="D516" s="68" t="inlineStr">
        <is>
          <t>기타 전자 부품 제조업</t>
        </is>
      </c>
      <c r="E516" s="68" t="inlineStr">
        <is>
          <t>전자저항기 및 전자카드 제조업</t>
        </is>
      </c>
      <c r="F516" s="68" t="inlineStr">
        <is>
          <t>◦마그네틱 스트라이프 또는 칩을 자장하여 컴퓨터 및 기타 사무용 기계에 사용되는 스마트 카드를 제조하는 산업활동으로서 각종 현상의 기록 여부 또는 전자집적회로의 자장 여부를 불문한다. 마그네틱 카드를 제조하는 산업활동도 포함한다.
&lt;예 시&gt;  
·마그네틱 카드 제조
·스마트 카드 제조
·전자집적회로 자장 카드 제조
·칩내장 카드 제조</t>
        </is>
      </c>
      <c r="G516" s="90" t="n">
        <v>90.7</v>
      </c>
      <c r="H516" s="90" t="n">
        <v>0</v>
      </c>
      <c r="I516" s="90" t="n">
        <v>12.4</v>
      </c>
    </row>
    <row r="517" ht="17.25" customHeight="1" s="66">
      <c r="A517" s="65" t="inlineStr">
        <is>
          <t>321016</t>
        </is>
      </c>
      <c r="B517" s="68" t="inlineStr">
        <is>
          <t>제조업</t>
        </is>
      </c>
      <c r="C517" s="68" t="inlineStr">
        <is>
          <t>전자 부품, 컴퓨터, 영상, 음향 및 통신장비 제조업</t>
        </is>
      </c>
      <c r="D517" s="68" t="inlineStr">
        <is>
          <t>기타 전자 부품 제조업</t>
        </is>
      </c>
      <c r="E517" s="68" t="inlineStr">
        <is>
          <t>전자 감지장치 제조업</t>
        </is>
      </c>
      <c r="F517" s="68" t="inlineStr">
        <is>
          <t>◦온도, 압력, 속도와 같은 물리적인 환경 정보의 변화를 전기적인 신호로 바꿔주는 장치를 제조하는 산업활동을 말한다. 감지한 환경 정보를 이용하여 제어, 조절 등의 각종 기능을 수행하는 경우에는 해당되는 제품 제조업으로 분류한다.
&lt;예 시&gt;
·온도 센서, 습도 센서, 초음파 센서, 압력 센서, 가스 센서, 가속도 센서, 조도 센서
·자동차용 각종 센서
·전자 감지장치(센서) 제조
·감광 전자 감지장치(감광 센서) 제조</t>
        </is>
      </c>
      <c r="G517" s="90" t="n">
        <v>90.7</v>
      </c>
      <c r="H517" s="90" t="n">
        <v>0</v>
      </c>
      <c r="I517" s="90" t="n">
        <v>6.1</v>
      </c>
    </row>
    <row r="518" ht="17.25" customHeight="1" s="66">
      <c r="A518" s="65" t="inlineStr">
        <is>
          <t>322002</t>
        </is>
      </c>
      <c r="B518" s="68" t="inlineStr">
        <is>
          <t>제조업</t>
        </is>
      </c>
      <c r="C518" s="68" t="inlineStr">
        <is>
          <t>전자 부품, 컴퓨터, 영상, 음향 및 통신장비 제조업</t>
        </is>
      </c>
      <c r="D518" s="68" t="inlineStr">
        <is>
          <t>유선 통신장비 제조업</t>
        </is>
      </c>
      <c r="E518" s="68" t="inlineStr">
        <is>
          <t>유선 통신장비 제조업</t>
        </is>
      </c>
      <c r="F518" s="68" t="inlineStr">
        <is>
          <t>◦송신소와 수신소를 연결하는 유선 통신회로에 의하여 두 지점간의 음성 또는 기타 메시지를 전달해주는 각종 통신장치를 제조하는 산업활동을 말한다.
&lt;예 시&gt;
·유선 전화기 세트 제조
·유선 전신장치 제조
·인터폰 제조(모니터 불문)
·유선 팩시밀리 제조
·텔레 프린터(인쇄 전신기) 제조
·광섬유 전송시스템(광중계기, 단국장치 등) 제조
·반송 통신기 제조
·반송 통신용 신호 변환기 제조
·페어케이블 반송장치 제조
·동축케이블 반송장치 제조
·교환기 제조(자동 또는 수동식)
·유선 영상(사진) 전신기 제조
·중앙통제실 전송용 도난 및 화재 유선 경보시스템 제조</t>
        </is>
      </c>
      <c r="G518" s="90" t="n">
        <v>90.59999999999999</v>
      </c>
      <c r="H518" s="90" t="n">
        <v>0</v>
      </c>
      <c r="I518" s="90" t="n">
        <v>10.2</v>
      </c>
    </row>
    <row r="519" ht="17.25" customHeight="1" s="66">
      <c r="A519" s="65" t="inlineStr">
        <is>
          <t>322003</t>
        </is>
      </c>
      <c r="B519" s="68" t="inlineStr">
        <is>
          <t>제조업</t>
        </is>
      </c>
      <c r="C519" s="68" t="inlineStr">
        <is>
          <t>전자 부품, 컴퓨터, 영상, 음향 및 통신장비 제조업</t>
        </is>
      </c>
      <c r="D519" s="68" t="inlineStr">
        <is>
          <t>방송 및 무선 통신장비 제조업</t>
        </is>
      </c>
      <c r="E519" s="68" t="inlineStr">
        <is>
          <t>방송장비 제조업</t>
        </is>
      </c>
      <c r="F519" s="68" t="inlineStr">
        <is>
          <t>◦유◦무선 텔레비전 방송용 송신기 및 중계용 기기, 폐쇄회로 텔레비전 기기, 텔레비전 카메라 등의 방송 및 관련 응용장치를 제조하는 산업활동을 말한다.
&lt;예 시&gt;
·텔레비전 방송 중계기 제조
·유선 및 무선방송 전송기 제조
·라디오 방송용 기기 제조
·텔레비전 카메라 및 수중 카메라 제조
·폐쇄회로 카메라 제조(공업용 및 과학용, 교통관제용 등)
&lt;제 외&gt;
·텔레비전 및 안테나 제조(323005)
·통신위성 제조(353001)</t>
        </is>
      </c>
      <c r="G519" s="90" t="n">
        <v>90.59999999999999</v>
      </c>
      <c r="H519" s="90" t="n">
        <v>0</v>
      </c>
      <c r="I519" s="90" t="n">
        <v>11.3</v>
      </c>
    </row>
    <row r="520" ht="17.25" customHeight="1" s="66">
      <c r="A520" s="65" t="inlineStr">
        <is>
          <t>322004</t>
        </is>
      </c>
      <c r="B520" s="68" t="inlineStr">
        <is>
          <t>제조업</t>
        </is>
      </c>
      <c r="C520" s="68" t="inlineStr">
        <is>
          <t>전자 부품, 컴퓨터, 영상, 음향 및 통신장비 제조업</t>
        </is>
      </c>
      <c r="D520" s="68" t="inlineStr">
        <is>
          <t>방송 및 무선 통신장비 제조업</t>
        </is>
      </c>
      <c r="E520" s="68" t="inlineStr">
        <is>
          <t>이동 전화기 제조업</t>
        </is>
      </c>
      <c r="F520" s="68" t="inlineStr">
        <is>
          <t>◦이동 전화기를 제조하는 산업활동을 말한다. 무선전화 이외의 다양한 기능을 겸비한 이동 전화 단말기 제조활동도 포함한다.
&lt;예 시&gt;
·휴대폰 제조
&lt;제 외&gt;
·무선 전화기가 부착되는 유선 전화 및 전신장비 제조(322002)</t>
        </is>
      </c>
      <c r="G520" s="90" t="n">
        <v>90.59999999999999</v>
      </c>
      <c r="H520" s="90" t="n">
        <v>0</v>
      </c>
      <c r="I520" s="90" t="n">
        <v>11.3</v>
      </c>
    </row>
    <row r="521" ht="17.25" customHeight="1" s="66">
      <c r="A521" s="65" t="inlineStr">
        <is>
          <t>322005</t>
        </is>
      </c>
      <c r="B521" s="68" t="inlineStr">
        <is>
          <t>제조업</t>
        </is>
      </c>
      <c r="C521" s="68" t="inlineStr">
        <is>
          <t>전자 부품, 컴퓨터, 영상, 음향 및 통신장비 제조업</t>
        </is>
      </c>
      <c r="D521" s="68" t="inlineStr">
        <is>
          <t>방송 및 무선 통신장비 제조업</t>
        </is>
      </c>
      <c r="E521" s="68" t="inlineStr">
        <is>
          <t>기타 무선 통신장비 제조업</t>
        </is>
      </c>
      <c r="F521" s="68" t="inlineStr">
        <is>
          <t>◦무선 호출기, 무선 전신기 등 기타 무선 통신장비를 제조하는 산업활동을 말한다.
&lt;예 시&gt;
·무선 전신기 제조
·무선 전신용 송신기 제조
·무전기 제조
·무선 팩시밀리 제조
&lt;제 외&gt;
·무선 전화기가 부착되는 유선 전화 및 전신장비 제조(322002)
·통신위성 제조(353001)</t>
        </is>
      </c>
      <c r="G521" s="90" t="n">
        <v>90.59999999999999</v>
      </c>
      <c r="H521" s="90" t="n">
        <v>0</v>
      </c>
      <c r="I521" s="90" t="n">
        <v>6.5</v>
      </c>
    </row>
    <row r="522" ht="17.25" customHeight="1" s="66">
      <c r="A522" s="65" t="inlineStr">
        <is>
          <t>323001</t>
        </is>
      </c>
      <c r="B522" s="68" t="inlineStr">
        <is>
          <t>제조업</t>
        </is>
      </c>
      <c r="C522" s="68" t="inlineStr">
        <is>
          <t>전자 부품, 컴퓨터, 영상, 음향 및 통신장비 제조업</t>
        </is>
      </c>
      <c r="D522" s="68" t="inlineStr">
        <is>
          <t>텔레비전, 비디오 및 기타 영상 기기 제조업</t>
        </is>
      </c>
      <c r="E522" s="68" t="inlineStr">
        <is>
          <t>비디오 및 기타 영상 기기 제조업</t>
        </is>
      </c>
      <c r="F522" s="68" t="inlineStr">
        <is>
          <t>◦비디오 등 각종 기타 영상 기기를 제조하는 산업활동을 말한다.
&lt;예 시&gt;
·가정용 비디오 제조
·가정용 비디오 카메라 제조
·DVD 제조
·가정용 가상 현실(VR, AR) 기기 제조
&lt;제 외&gt;
·방송용 카메라 제조(322003)
·CCTV용 카메라 제조(322003)
·산업용 가상현실 기기(운전교습용 등 각종 시뮬레이터) 제조(292907)</t>
        </is>
      </c>
      <c r="G522" s="90" t="n">
        <v>91.2</v>
      </c>
      <c r="H522" s="90" t="n">
        <v>0</v>
      </c>
      <c r="I522" s="90" t="n">
        <v>8.800000000000001</v>
      </c>
    </row>
    <row r="523" ht="17.25" customHeight="1" s="66">
      <c r="A523" s="65" t="inlineStr">
        <is>
          <t>323005</t>
        </is>
      </c>
      <c r="B523" s="68" t="inlineStr">
        <is>
          <t>제조업</t>
        </is>
      </c>
      <c r="C523" s="68" t="inlineStr">
        <is>
          <t>전자 부품, 컴퓨터, 영상, 음향 및 통신장비 제조업</t>
        </is>
      </c>
      <c r="D523" s="68" t="inlineStr">
        <is>
          <t>텔레비전, 비디오 및 기타 영상 기기 제조업</t>
        </is>
      </c>
      <c r="E523" s="68" t="inlineStr">
        <is>
          <t>텔레비전 제조업</t>
        </is>
      </c>
      <c r="F523" s="68" t="inlineStr">
        <is>
          <t>◦각종 텔레비전을 제조하는 산업활동을 말한다.
&lt;예 시&gt;
·LCD TV 제조
·PDP(플라즈마) TV
·브라운관 TV 제조
·휴대용 텔레비전 제조
&lt;제 외&gt;
·표시장치(디스플레이) 모듈 및 부분품 제조(321005~321007)
·전자관 제조(321001)</t>
        </is>
      </c>
      <c r="G523" s="90" t="n">
        <v>91.2</v>
      </c>
      <c r="H523" s="90" t="n">
        <v>0</v>
      </c>
      <c r="I523" s="90" t="n">
        <v>12.2</v>
      </c>
    </row>
    <row r="524" ht="17.25" customHeight="1" s="66">
      <c r="A524" s="65" t="inlineStr">
        <is>
          <t>323006</t>
        </is>
      </c>
      <c r="B524" s="68" t="inlineStr">
        <is>
          <t>제조업</t>
        </is>
      </c>
      <c r="C524" s="68" t="inlineStr">
        <is>
          <t>전자 부품, 컴퓨터, 영상, 음향 및 통신장비 제조업</t>
        </is>
      </c>
      <c r="D524" s="68" t="inlineStr">
        <is>
          <t>오디오, 스피커 및 기타 음향 기기 제조업</t>
        </is>
      </c>
      <c r="E524" s="68" t="inlineStr">
        <is>
          <t>라디오, 녹음 및 재생 기기 제조업</t>
        </is>
      </c>
      <c r="F524" s="68" t="inlineStr">
        <is>
          <t>◦라디오, 녹음기 및 음성 재생기 등의 음향 기기를 제조하는 산업활동을 말한다.
&lt;예 시&gt;
·라디오 제조
·녹음기 제조
·MP3 플레이어 제조
·카세트 제조
&lt;제 외&gt;
·스피커 제조(323007)</t>
        </is>
      </c>
      <c r="G524" s="90" t="n">
        <v>91.2</v>
      </c>
      <c r="H524" s="90" t="n">
        <v>0</v>
      </c>
      <c r="I524" s="90" t="n">
        <v>12.2</v>
      </c>
    </row>
    <row r="525" ht="17.25" customHeight="1" s="66">
      <c r="A525" s="65" t="inlineStr">
        <is>
          <t>323007</t>
        </is>
      </c>
      <c r="B525" s="68" t="inlineStr">
        <is>
          <t>제조업</t>
        </is>
      </c>
      <c r="C525" s="68" t="inlineStr">
        <is>
          <t>전자 부품, 컴퓨터, 영상, 음향 및 통신장비 제조업</t>
        </is>
      </c>
      <c r="D525" s="68" t="inlineStr">
        <is>
          <t>오디오, 스피커 및 기타 음향 기기 제조업</t>
        </is>
      </c>
      <c r="E525" s="68" t="inlineStr">
        <is>
          <t>기타 음향기기 제조업</t>
        </is>
      </c>
      <c r="F525" s="68" t="inlineStr">
        <is>
          <t>◦스피커, 확성기, 이어폰 등 기타 음향기기를 제조하는 산업활동을 말한다.
&lt;예 시&gt;
·스피커 제조
·이어폰, 헤드폰 제조
·마이크로폰 제조
·확성기 제조</t>
        </is>
      </c>
      <c r="G525" s="90" t="n">
        <v>91.2</v>
      </c>
      <c r="H525" s="90" t="n">
        <v>0</v>
      </c>
      <c r="I525" s="90" t="n">
        <v>7</v>
      </c>
    </row>
    <row r="526" ht="17.25" customHeight="1" s="66">
      <c r="A526" s="65" t="inlineStr">
        <is>
          <t>331100</t>
        </is>
      </c>
      <c r="B526" s="68" t="inlineStr">
        <is>
          <t>제조업</t>
        </is>
      </c>
      <c r="C526" s="68" t="inlineStr">
        <is>
          <t>의료, 정밀, 광학 기기 및 시계 제조업</t>
        </is>
      </c>
      <c r="D526" s="68" t="inlineStr">
        <is>
          <t>방사선 장치 및 전기식 진단 기기 제조업</t>
        </is>
      </c>
      <c r="E526" s="68" t="inlineStr">
        <is>
          <t>전기식 진단 및 요법 기기 제조업</t>
        </is>
      </c>
      <c r="F526" s="68" t="inlineStr">
        <is>
          <t>◦내과, 외과, 치과용의 전기 및 전자식 진단장치, 신체 기능 검사 및 생리적 변화를 검사하는 기기, 자외선 또는 적외선을 응용한 기기를 제조하는 산업활동을 말한다.
&lt;예 시&gt;
·심전계 제조
·뇌파계 제조
·혈압 측정기 제조       
·청력 검사용 기구 제조
·전기 요법용 기기 제조
·인공 보육기 제조
&lt;제 외&gt;
·비전기식 진단용 기기 제조(331102)
·진단용 방사선 장치 제조(331103)</t>
        </is>
      </c>
      <c r="G526" s="90" t="n">
        <v>89.59999999999999</v>
      </c>
      <c r="H526" s="90" t="n">
        <v>0</v>
      </c>
      <c r="I526" s="90" t="n">
        <v>14.1</v>
      </c>
    </row>
    <row r="527" ht="17.25" customHeight="1" s="66">
      <c r="A527" s="65" t="inlineStr">
        <is>
          <t>331101</t>
        </is>
      </c>
      <c r="B527" s="68" t="inlineStr">
        <is>
          <t>제조업</t>
        </is>
      </c>
      <c r="C527" s="68" t="inlineStr">
        <is>
          <t>의료, 정밀, 광학 기기 및 시계 제조업</t>
        </is>
      </c>
      <c r="D527" s="68" t="inlineStr">
        <is>
          <t>기타 의료용 기기 제조업</t>
        </is>
      </c>
      <c r="E527" s="68" t="inlineStr">
        <is>
          <t>치과기공물 제조업, 치과용 임플란트 제조업</t>
        </is>
      </c>
      <c r="F527" s="68" t="inlineStr">
        <is>
          <t xml:space="preserve">◦치과 치료용 및 치과용 작업모형, 보철물, 충전물 등을 전문적으로 제작하는 산업활동을 말한다. 치과용 임플란트를 제작하는 산업활동을 말한다
&lt;예 시&gt;
·치과 기공물      ·치과 기공소    ·교정장치·충전물·작업 모형 제조	
·의치 및 틀니 제조    ·치과용 임플란트	</t>
        </is>
      </c>
      <c r="G527" s="90" t="n">
        <v>73.5</v>
      </c>
      <c r="H527" s="90" t="n">
        <v>0</v>
      </c>
      <c r="I527" s="90" t="n">
        <v>12.8</v>
      </c>
    </row>
    <row r="528" ht="17.25" customHeight="1" s="66">
      <c r="A528" s="65" t="inlineStr">
        <is>
          <t>331102</t>
        </is>
      </c>
      <c r="B528" s="68" t="inlineStr">
        <is>
          <t>제조업</t>
        </is>
      </c>
      <c r="C528" s="68" t="inlineStr">
        <is>
          <t>의료, 정밀, 광학 기기 및 시계 제조업</t>
        </is>
      </c>
      <c r="D528" s="68" t="inlineStr">
        <is>
          <t>기타 의료용 기기 제조업</t>
        </is>
      </c>
      <c r="E528" s="68" t="inlineStr">
        <is>
          <t>그 외 기타 의료용 기기 제조업</t>
        </is>
      </c>
      <c r="F528" s="68" t="inlineStr">
        <is>
          <t>◦달리 분류되지 않은 각종 의료용 기기 제품을 제조하는 산업활동을 말한다.
&lt;예 시&gt;
·기계적 요법 기구 제조
·물리요법용 기기 제조    
·시력 측정기 제조
·임신 진단기 제조                  
·안과용 기기 제조
·비전기식 진단용 기기 제조
·주사기 및 주사 바늘 제조
·수혈 세트 및 수액 세트 제조    
·인공 신장기용 투석기 제조
·산소 흡입기 제조       
·심리학적 적성 검사용 기기 제조
·산부인과용 기기 제조
·의료용 검사 램프 제조
·광학식 내시경 제조   
·의료용, 이화학용 살균기 제조
·에어로졸 치료기 제조        
·가스 마스크 제조
·의료 마사지용 기기 제조
&lt;제 외&gt;
·전기 또는 전자식 진단 기기 제조(331100)
·진단 및 요법용 방사선 장비 제조(331103)
·비의료용 전기 안마기 제조(293002)</t>
        </is>
      </c>
      <c r="G528" s="90" t="n">
        <v>89.59999999999999</v>
      </c>
      <c r="H528" s="90" t="n">
        <v>0</v>
      </c>
      <c r="I528" s="90" t="n">
        <v>12.7</v>
      </c>
    </row>
    <row r="529" ht="17.25" customHeight="1" s="66">
      <c r="A529" s="65" t="inlineStr">
        <is>
          <t>331103</t>
        </is>
      </c>
      <c r="B529" s="68" t="inlineStr">
        <is>
          <t>제조업</t>
        </is>
      </c>
      <c r="C529" s="68" t="inlineStr">
        <is>
          <t>의료, 정밀, 광학 기기 및 시계 제조업</t>
        </is>
      </c>
      <c r="D529" s="68" t="inlineStr">
        <is>
          <t>방사선 장치 및 전기식 진단 기기 제조업</t>
        </is>
      </c>
      <c r="E529" s="68" t="inlineStr">
        <is>
          <t>방사선 장치 제조업</t>
        </is>
      </c>
      <c r="F529" s="68" t="inlineStr">
        <is>
          <t>◦의료용 또는 기타 용도의 방사선 장치를 제조하는 산업활동으로서 촬영용, 진단용, 치료용의 것도 포함한다.
&lt;예 시&gt;
·X선 장치 제조
·CT 제조
·자동 단층 촬영기 제조       
·혈관 조영 촬영 장치 제조
·공업용 방사선 장치 제조
·실험 검사용 방사선 장치 제조
&lt;제 외&gt;
·레이저 발생기 제조(332004)
·레이저 공작기기 제조(292203)</t>
        </is>
      </c>
      <c r="G529" s="90" t="n">
        <v>89.59999999999999</v>
      </c>
      <c r="H529" s="90" t="n">
        <v>0</v>
      </c>
      <c r="I529" s="90" t="n">
        <v>14.1</v>
      </c>
    </row>
    <row r="530" ht="17.25" customHeight="1" s="66">
      <c r="A530" s="65" t="inlineStr">
        <is>
          <t>331104</t>
        </is>
      </c>
      <c r="B530" s="68" t="inlineStr">
        <is>
          <t>제조업</t>
        </is>
      </c>
      <c r="C530" s="68" t="inlineStr">
        <is>
          <t>의료, 정밀, 광학 기기 및 시계 제조업</t>
        </is>
      </c>
      <c r="D530" s="68" t="inlineStr">
        <is>
          <t>기타 의료용 기기 제조업</t>
        </is>
      </c>
      <c r="E530" s="68" t="inlineStr">
        <is>
          <t>치과용 기기 제조업</t>
        </is>
      </c>
      <c r="F530" s="68" t="inlineStr">
        <is>
          <t>◦치과용 드릴 엔진, 호환용 연삭도구 등 치과 전용 기계 및 기구를 제조하는 산업활동을 말한다.
&lt;예 시&gt;
·치과용 드릴(버, bur) 제조
·치석 제거기 제조
·치과용 유니트 제조
&lt;제 외&gt;
·치과용 전기식 진단 기기 제조(331100)
·치과용 시멘트 제조(242309)
·주사기, 주사 바늘 및 기타 일반 의료용 수도구 제조(331102)
·인조 치아 제조(331101)</t>
        </is>
      </c>
      <c r="G530" s="90" t="n">
        <v>89.59999999999999</v>
      </c>
      <c r="H530" s="90" t="n">
        <v>0</v>
      </c>
      <c r="I530" s="90" t="n">
        <v>14.1</v>
      </c>
    </row>
    <row r="531" ht="17.25" customHeight="1" s="66">
      <c r="A531" s="65" t="inlineStr">
        <is>
          <t>331105</t>
        </is>
      </c>
      <c r="B531" s="68" t="inlineStr">
        <is>
          <t>제조업</t>
        </is>
      </c>
      <c r="C531" s="68" t="inlineStr">
        <is>
          <t>의료, 정밀, 광학 기기 및 시계 제조업</t>
        </is>
      </c>
      <c r="D531" s="68" t="inlineStr">
        <is>
          <t>기타 의료용 기기 제조업</t>
        </is>
      </c>
      <c r="E531" s="68" t="inlineStr">
        <is>
          <t>정형 외과용 및 신체 보정용 기기 제조업</t>
        </is>
      </c>
      <c r="F531" s="68" t="inlineStr">
        <is>
          <t>◦신체적 결함을 방지하거나 교정하기 위하여 사용되는 정형 외과용품 및 신체에 주입 또는 부착하거나 휴대할 수 있는 신체 결손 보정용 기기를 제조하는 산업활동을 말한다. 동물용의 것도 포함한다.
&lt;예 시&gt;
·인공 장기 제조
·골절 치료구 제조
·보청기 제조        
·부목 제조(골절 치료용)
·인체 보정기 제조
·인체 부분 제조(인조)
·보정용 의안(인조 눈) 제조
&lt;제 외&gt;
·의료용 장선, 봉합사 및 피복재 제조(242309)
＊치과 기공소, 의치 제조(→331101)</t>
        </is>
      </c>
      <c r="G531" s="90" t="n">
        <v>89.59999999999999</v>
      </c>
      <c r="H531" s="90" t="n">
        <v>0</v>
      </c>
      <c r="I531" s="90" t="n">
        <v>14.1</v>
      </c>
    </row>
    <row r="532" ht="17.25" customHeight="1" s="66">
      <c r="A532" s="65" t="inlineStr">
        <is>
          <t>331106</t>
        </is>
      </c>
      <c r="B532" s="68" t="inlineStr">
        <is>
          <t>제조업</t>
        </is>
      </c>
      <c r="C532" s="68" t="inlineStr">
        <is>
          <t>의료, 정밀, 광학 기기 및 시계 제조업</t>
        </is>
      </c>
      <c r="D532" s="68" t="inlineStr">
        <is>
          <t>기타 의료용 기기 제조업</t>
        </is>
      </c>
      <c r="E532" s="68" t="inlineStr">
        <is>
          <t>의료용 가구 제조업</t>
        </is>
      </c>
      <c r="F532" s="68" t="inlineStr">
        <is>
          <t>◦내과, 외과, 치과용의 각종 전문 가구, 이◦미용실용 의자 및 이와 유사한 용도의 것으로서 회전 또는 상◦하 이동장치가 결합된 의자를 제조하는 산업활동을 말한다. 동물 치료용 가구도 포함한다.
&lt;예 시&gt;
·의료용 가구 제조
·치과용 의자 제조
·수의용 가구 제조
·이·미용실용 의자 제조
&lt;제 외&gt;
·일반용 가구 제조(361001~361003, 361005~361007)</t>
        </is>
      </c>
      <c r="G532" s="90" t="n">
        <v>89.59999999999999</v>
      </c>
      <c r="H532" s="90" t="n">
        <v>0</v>
      </c>
      <c r="I532" s="90" t="n">
        <v>14.1</v>
      </c>
    </row>
    <row r="533" ht="17.25" customHeight="1" s="66">
      <c r="A533" s="65" t="inlineStr">
        <is>
          <t>331201</t>
        </is>
      </c>
      <c r="B533" s="68" t="inlineStr">
        <is>
          <t>제조업</t>
        </is>
      </c>
      <c r="C533" s="68" t="inlineStr">
        <is>
          <t>의료, 정밀, 광학 기기 및 시계 제조업</t>
        </is>
      </c>
      <c r="D533" s="68" t="inlineStr">
        <is>
          <t>측정, 시험, 항해, 제어 및 기타 정밀 기기 제조업</t>
        </is>
      </c>
      <c r="E533" s="68" t="inlineStr">
        <is>
          <t>물질 검사, 측정 및 분석 기구 제조업</t>
        </is>
      </c>
      <c r="F533" s="68" t="inlineStr">
        <is>
          <t>◦천문, 수로 및 지구물리 형상 또는 고체, 액체, 기체의 물리◦화학용 측정 및 분석기구와 각종 산업용 재료 및 물질의 경도◦강도◦연성 등을 시험하는 기계, 기구를 제조하는 산업활동을 말한다. 각종 기계◦장비 또는 제품의 기능 및 특성 등을 측정◦검사하는 기계, 기구를 제조하는 경우도 포함한다.
&lt;예 시&gt;
·부력 측정기 제조
·기압계 제조             
·온도 및 습도계 제조
·액면 측정기 제조(액체·기체)  
·변량 검사용 기기 제조
·압력측정기 제조(액체·기체)
·색층 분석기 제조
·분광계 제조       
·노출계 제조
·변량 측정기 제조         
·마이크로톰(시료 절단기) 제조
·진동검사기 제조              
·균형 및 평형 검사기 제조
·충격 검사기 제조             
·제품 부조화 검사기 제조
·내연기관 시험대 제조       
·자동차 브레이크 시험대 제조
·항장력(인장 강도) 시험기 제조
·역량계 제조
·압축 및 탄성 시험기 제조       
·재료 시험기 제조
&lt;제 외&gt;
·전기량(전압, 전류, 저항, 전력 등) 및 특성의 측정, 시험, 분석기 제조(331204)</t>
        </is>
      </c>
      <c r="G533" s="90" t="n">
        <v>90.5</v>
      </c>
      <c r="H533" s="90" t="n">
        <v>0</v>
      </c>
      <c r="I533" s="90" t="n">
        <v>10.3</v>
      </c>
    </row>
    <row r="534" ht="17.25" customHeight="1" s="66">
      <c r="A534" s="65" t="inlineStr">
        <is>
          <t>331203</t>
        </is>
      </c>
      <c r="B534" s="68" t="inlineStr">
        <is>
          <t>제조업</t>
        </is>
      </c>
      <c r="C534" s="68" t="inlineStr">
        <is>
          <t>의료, 정밀, 광학 기기 및 시계 제조업</t>
        </is>
      </c>
      <c r="D534" s="68" t="inlineStr">
        <is>
          <t>측정, 시험, 항해, 제어 및 기타 정밀 기기 제조업</t>
        </is>
      </c>
      <c r="E534" s="68" t="inlineStr">
        <is>
          <t>레이더, 항행용 무선 기기 및 측량 기구 제조업</t>
        </is>
      </c>
      <c r="F534" s="68" t="inlineStr">
        <is>
          <t>◦레이더 기기 및 방향 탐지◦유도◦항해◦항공용 기기와 사진 측량용의 것을 포함한 토지◦수로◦해양◦수리 측량 기기와 기상 관측기, 지구물리학용의 기구 및 측거의를 제조하는 산업활동을 말한다.
&lt;예 시&gt;
·항행용 무선기기 제조
·항행용 레이더 장치
·무선 원격 조절기 제조
·군사용, 화기용, 항공기 침입 경계용 레이더 장치
·계기 착륙 유도용 기기 및 교통 관제용 기기  
·레이더 고도 측정 기기
·기상용 레이더 및 기상용 기구
·방향 탐지용 컴퍼스 제조
·토지 측량기 제조
·위성 항법장치(GPS) 수신 기기 제조
·선박ㆍ무인 비행기ㆍ로켓ㆍ미사일ㆍ장난감ㆍ모형 선박 또는 항공기 등 무선 원격 유도장치 제조
·광산의 폭파 또는 기계의 원격 조절용 무선 기기</t>
        </is>
      </c>
      <c r="G534" s="90" t="n">
        <v>90.5</v>
      </c>
      <c r="H534" s="90" t="n">
        <v>0</v>
      </c>
      <c r="I534" s="90" t="n">
        <v>11.4</v>
      </c>
    </row>
    <row r="535" ht="17.25" customHeight="1" s="66">
      <c r="A535" s="65" t="inlineStr">
        <is>
          <t>331204</t>
        </is>
      </c>
      <c r="B535" s="68" t="inlineStr">
        <is>
          <t>제조업</t>
        </is>
      </c>
      <c r="C535" s="68" t="inlineStr">
        <is>
          <t>의료, 정밀, 광학 기기 및 시계 제조업</t>
        </is>
      </c>
      <c r="D535" s="68" t="inlineStr">
        <is>
          <t>측정, 시험, 항해, 제어 및 기타 정밀 기기 제조업</t>
        </is>
      </c>
      <c r="E535" s="68" t="inlineStr">
        <is>
          <t>전자기 측정, 시험 및 분석 기구 제조업</t>
        </is>
      </c>
      <c r="F535" s="68" t="inlineStr">
        <is>
          <t>◦전기 및 전자회로 장비의 전기적 특성을 시험◦측정◦분석하는 기구를 제조하는 산업활동을 말한다.
&lt;예 시&gt;
·전압 측정 및 검사기 제조
·전류 측정 및 검사기 제조
·저항 검사기 제조
·전기량(전압, 전류, 저항, 전력 등) 검사 및 측정용 기기 제조
·전기 통신기기 검사기기(시험 및 분석기) 제조
&lt;제 외&gt;
·전기 적산 공급계기 제조(331205)</t>
        </is>
      </c>
      <c r="G535" s="90" t="n">
        <v>90.5</v>
      </c>
      <c r="H535" s="90" t="n">
        <v>0</v>
      </c>
      <c r="I535" s="90" t="n">
        <v>9.199999999999999</v>
      </c>
    </row>
    <row r="536" ht="17.25" customHeight="1" s="66">
      <c r="A536" s="65" t="inlineStr">
        <is>
          <t>331205</t>
        </is>
      </c>
      <c r="B536" s="68" t="inlineStr">
        <is>
          <t>제조업</t>
        </is>
      </c>
      <c r="C536" s="68" t="inlineStr">
        <is>
          <t>의료, 정밀, 광학 기기 및 시계 제조업</t>
        </is>
      </c>
      <c r="D536" s="68" t="inlineStr">
        <is>
          <t>측정, 시험, 항해, 제어 및 기타 정밀 기기 제조업</t>
        </is>
      </c>
      <c r="E536" s="68" t="inlineStr">
        <is>
          <t>속도계 및 적산계기 제조업</t>
        </is>
      </c>
      <c r="F536" s="68" t="inlineStr">
        <is>
          <t>◦열◦증기◦기체 및 액체의 생산 또는 공급량을 측정하기 위한 적산계기와 회전계, 속도계(측량 기구 제외), 생산량계, 적산 택시 미터기, 주행 거리계 및 이와 유사한 적산용 계기 등 각종 단위의 총량을 표시하는 계기를 제조하는 산업활동을 말한다.
&lt;예 시&gt;
·회전계 제조
·보수계기 제조
·공급량 계기 제조
·택시 미터기 제조
·전기 적산계기 제조
·가스 적산계기 제조</t>
        </is>
      </c>
      <c r="G536" s="90" t="n">
        <v>90.5</v>
      </c>
      <c r="H536" s="90" t="n">
        <v>0</v>
      </c>
      <c r="I536" s="90" t="n">
        <v>11.4</v>
      </c>
    </row>
    <row r="537" ht="17.25" customHeight="1" s="66">
      <c r="A537" s="65" t="inlineStr">
        <is>
          <t>331206</t>
        </is>
      </c>
      <c r="B537" s="68" t="inlineStr">
        <is>
          <t>제조업</t>
        </is>
      </c>
      <c r="C537" s="68" t="inlineStr">
        <is>
          <t>의료, 정밀, 광학 기기 및 시계 제조업</t>
        </is>
      </c>
      <c r="D537" s="68" t="inlineStr">
        <is>
          <t>측정, 시험, 항해, 제어 및 기타 정밀 기기 제조업</t>
        </is>
      </c>
      <c r="E537" s="68" t="inlineStr">
        <is>
          <t>기기용 자동 측정 및 제어장치 제조업</t>
        </is>
      </c>
      <c r="F537" s="68" t="inlineStr">
        <is>
          <t>◦난방용 기기 및 공기 조절장치, 냉동기 등과 같은 각종 가정 또는 상업용 기기의 작동에 관련되는 기체 및 액체의 유량, 압력, 온도, 밀도 등의 각종 관련 변수를 자동 조정하는 장치를 제조하는 산업활동을 말한다. 이러한 장치는 측정, 조정 및 시동, 정지 또는 작동장치를 갖추고 있으며 전기량이나 비전기량을 전기 및 비전기적 변수로 조정할 수 있다.
&lt;예 시&gt;
·온도 자동 조정장치 제조(기기용)
·수위 자동 조정 제어장치 제조
·안전판 제조(기기용)
·가스버너 조정장치 제조(기기용)
·습도 조절장치 제조(기기용)
·매노우스타트 제조(기기용)
·공기 유입 조정장치 제조(기기용)
&lt;제 외&gt;
·산업처리 자동 측정 및 제어장비 제조(331300)</t>
        </is>
      </c>
      <c r="G537" s="90" t="n">
        <v>90.5</v>
      </c>
      <c r="H537" s="90" t="n">
        <v>0</v>
      </c>
      <c r="I537" s="90" t="n">
        <v>8</v>
      </c>
    </row>
    <row r="538" ht="17.25" customHeight="1" s="66">
      <c r="A538" s="65" t="inlineStr">
        <is>
          <t>331207</t>
        </is>
      </c>
      <c r="B538" s="68" t="inlineStr">
        <is>
          <t>제조업</t>
        </is>
      </c>
      <c r="C538" s="68" t="inlineStr">
        <is>
          <t>의료, 정밀, 광학 기기 및 시계 제조업</t>
        </is>
      </c>
      <c r="D538" s="68" t="inlineStr">
        <is>
          <t>측정, 시험, 항해, 제어 및 기타 정밀 기기 제조업</t>
        </is>
      </c>
      <c r="E538" s="68" t="inlineStr">
        <is>
          <t>기타 측정, 시험, 항해, 제어 및 정밀 기기 제조업</t>
        </is>
      </c>
      <c r="F538" s="68" t="inlineStr">
        <is>
          <t>◦정밀 측정용 감량저울, 비광학 현미경 및 회절기 등 기타 측정◦검사◦시험◦분석용 기구를 제조하는 산업활동을 말한다. 각종 형태의 제도용구, 설계용구, 자 및 측정용 봉 등의 수지식 길이 측정기를 제조하는 산업활동도 포함한다.
&lt;예 시&gt;
·비광학 현미경 제조
·비광학 회절기 제조
·마이크로미터 제조
·캘리퍼스 제조
·측정용 눈금자 제조
·제도용 계산용구 제조
·감량저울 제조(감량 50밀리그램 이내의 것)
·기술자용 수지식 정밀 측정기 제조
&lt;제 외&gt;
·레이더 기기, 무선 원격 조절장치 및 기타 항공용 무선기기 제조(331203)
·방향탐지용 컴퍼스 제조(331203)</t>
        </is>
      </c>
      <c r="G538" s="90" t="n">
        <v>90.5</v>
      </c>
      <c r="H538" s="90" t="n">
        <v>0</v>
      </c>
      <c r="I538" s="90" t="n">
        <v>11.4</v>
      </c>
    </row>
    <row r="539" ht="17.25" customHeight="1" s="66">
      <c r="A539" s="65" t="inlineStr">
        <is>
          <t>331300</t>
        </is>
      </c>
      <c r="B539" s="68" t="inlineStr">
        <is>
          <t>제조업</t>
        </is>
      </c>
      <c r="C539" s="68" t="inlineStr">
        <is>
          <t>의료, 정밀, 광학 기기 및 시계 제조업</t>
        </is>
      </c>
      <c r="D539" s="68" t="inlineStr">
        <is>
          <t>측정, 시험, 항해, 제어 및 기타 정밀 기기 제조업</t>
        </is>
      </c>
      <c r="E539" s="68" t="inlineStr">
        <is>
          <t>산업 처리공정 제어장비 제조업</t>
        </is>
      </c>
      <c r="F539" s="68" t="inlineStr">
        <is>
          <t>◦산업 처리공정에서 제품을 생산하기 위한 재료 및 기타 조건들이 일정하게 유지◦조정될 수 있도록 압력, 유입량, 습도, 유입되는 가스 및 액체의 배합 상태, 온도, 위치, 빈도, 밀도, 비중, 기계적 적합성 및 기타 변수를 계속적으로 측정하여 이들 변수를 최상의 조건으로 자동 조정하는 산업처리 제어장비를 제조하는 산업활동을 말한다. 이러한 장비는 측정, 조정 및 시동, 정지 또는 작동장치를 갖추고 있으며 전기량이나 비전기량을 전기적 및 비전기적 변수로 조정할 수 있다.
&lt;예 시&gt;
·습도 측정장치 제조
·가스 및 액체 분석계기 제조       
·압력 측정장치 제조
·산업처리 자동조절용 기기 제조       
·산업처리 공정용 컴퓨터 접속장치 제조
·산업처리 공정용 흐름 조정자 제조    
·온도 변화에 반응하는 전기 저항기 제조
&lt;제 외&gt;
·액상유리 및 바이메탈용 철강 제조(271103)
·주거 또는 상업환경 기기용의 자동조정 제어기구 제조(331206)</t>
        </is>
      </c>
      <c r="G539" s="90" t="n">
        <v>89.59999999999999</v>
      </c>
      <c r="H539" s="90" t="n">
        <v>0</v>
      </c>
      <c r="I539" s="90" t="n">
        <v>12</v>
      </c>
    </row>
    <row r="540" ht="17.25" customHeight="1" s="66">
      <c r="A540" s="65" t="inlineStr">
        <is>
          <t>332000</t>
        </is>
      </c>
      <c r="B540" s="68" t="inlineStr">
        <is>
          <t>제조업</t>
        </is>
      </c>
      <c r="C540" s="68" t="inlineStr">
        <is>
          <t>의료, 정밀, 광학 기기 및 시계 제조업</t>
        </is>
      </c>
      <c r="D540" s="68" t="inlineStr">
        <is>
          <t>기타 의료용 기기 제조업</t>
        </is>
      </c>
      <c r="E540" s="68" t="inlineStr">
        <is>
          <t>안경 및 안경렌즈 제조업</t>
        </is>
      </c>
      <c r="F540" s="68" t="inlineStr">
        <is>
          <t>◦안경테 및 각종 용도의 완성된 안경 등을 제조하는 산업활동을 말한다. 소매활동에 따른 안경 조립은 소매업으로 분류한다.
&lt;예 시&gt;
·각종 용도 안경 제조
·안경테 및 장착구 제조
·고글테 및 장착구 제조
·시력 교정용 안경 제조
·보호용 안경 제조
·선글라스 제조
&lt;제 외&gt;
*안경렌즈(콘택트렌즈), 보정용안경렌즈 제조(→332002)</t>
        </is>
      </c>
      <c r="G540" s="90" t="n">
        <v>90.5</v>
      </c>
      <c r="H540" s="90" t="n">
        <v>0</v>
      </c>
      <c r="I540" s="90" t="n">
        <v>9.4</v>
      </c>
    </row>
    <row r="541" ht="17.25" customHeight="1" s="66">
      <c r="A541" s="65" t="inlineStr">
        <is>
          <t>332001</t>
        </is>
      </c>
      <c r="B541" s="68" t="inlineStr">
        <is>
          <t>제조업</t>
        </is>
      </c>
      <c r="C541" s="68" t="inlineStr">
        <is>
          <t>의료, 정밀, 광학 기기 및 시계 제조업</t>
        </is>
      </c>
      <c r="D541" s="68" t="inlineStr">
        <is>
          <t>사진장비 및 광학기기 제조업</t>
        </is>
      </c>
      <c r="E541" s="68" t="inlineStr">
        <is>
          <t>기타 광학기기 및 사진기 제조업</t>
        </is>
      </c>
      <c r="F541" s="68" t="inlineStr">
        <is>
          <t>◦정물 사진기 및 영화 촬영기, 영사기 및 이들의 부분품, 사진실용 또는 영사실용의 장비를 제조하는 산업활동을 말한다.
&lt;예 시&gt;
·마이크로 피시 리더 제조
·마이크로 폼 리더 제조
·환등기 제조
·마이크로 필름 리더 제조     
·대물렌즈 제조(사진기, 영사기용)
·영사용 스크린 제조     
·사진 노광용 기기 제조
·사진 노출용 기기 제조
·사진 확대기 및 축소기 제조
·빔 프로젝터 제조
·OHP 프로젝터 제조
·일반용 카메라 제조(방송 및 비디오용 제외)
·가정용 디지털 카메라 제조
&lt;제 외&gt;
·사진 섬광 전구 제조(315003)
·사진실용 용기류는 재료에 따라 각각 분류
·방송용 카메라, 폐쇄회로 카메라 제조(322003)
·가정용 비디오 카메라 제조(323001)</t>
        </is>
      </c>
      <c r="G541" s="90" t="n">
        <v>91</v>
      </c>
      <c r="H541" s="90" t="n">
        <v>0</v>
      </c>
      <c r="I541" s="90" t="n">
        <v>10.2</v>
      </c>
    </row>
    <row r="542" ht="17.25" customHeight="1" s="66">
      <c r="A542" s="65" t="inlineStr">
        <is>
          <t>332002</t>
        </is>
      </c>
      <c r="B542" s="68" t="inlineStr">
        <is>
          <t>제조업</t>
        </is>
      </c>
      <c r="C542" s="68" t="inlineStr">
        <is>
          <t>의료, 정밀, 광학 기기 및 시계 제조업</t>
        </is>
      </c>
      <c r="D542" s="68" t="inlineStr">
        <is>
          <t>기타 의료용 기기 제조업</t>
        </is>
      </c>
      <c r="E542" s="68" t="inlineStr">
        <is>
          <t>안경 및 안경렌즈 제조업</t>
        </is>
      </c>
      <c r="F542" s="68" t="inlineStr">
        <is>
          <t>◦안경렌즈(콘택트렌즈), 보정용안경렌즈</t>
        </is>
      </c>
      <c r="G542" s="90" t="n">
        <v>91</v>
      </c>
      <c r="H542" s="90" t="n">
        <v>0</v>
      </c>
      <c r="I542" s="90" t="n">
        <v>12.8</v>
      </c>
    </row>
    <row r="543" ht="17.25" customHeight="1" s="66">
      <c r="A543" s="65" t="inlineStr">
        <is>
          <t>332003</t>
        </is>
      </c>
      <c r="B543" s="68" t="inlineStr">
        <is>
          <t>제조업</t>
        </is>
      </c>
      <c r="C543" s="68" t="inlineStr">
        <is>
          <t>의료, 정밀, 광학 기기 및 시계 제조업</t>
        </is>
      </c>
      <c r="D543" s="68" t="inlineStr">
        <is>
          <t>사진장비 및 광학기기 제조업</t>
        </is>
      </c>
      <c r="E543" s="68" t="inlineStr">
        <is>
          <t>광학 렌즈 및 광학 요소 제조업</t>
        </is>
      </c>
      <c r="F543" s="68" t="inlineStr">
        <is>
          <t>◦규소수지, 플라스틱 물질 및 기타 재료로 광섬유, 편광재료제의 판 및 기타 재료를 광학적으로 연마 및 가공하여 각종 광학 요소를 제조하는 산업활동을 말한다.
&lt;예 시&gt;
·광섬유 제조
·프리즘 제조
·광학용품 제조
·반사경 제조
·편광재료제의 판 제조
·렌즈 제조
&lt;제 외&gt;
·광학적 연마가공을 하지 않은 유리생지 제조(261006)
·광섬유 케이블 제조(313003)
·카메라, 영사기, 사진기용 대물렌즈 제조(332001)
·콘택트 렌즈 제조(332002)
·안경 렌즈 제조(332002)</t>
        </is>
      </c>
      <c r="G543" s="90" t="n">
        <v>91</v>
      </c>
      <c r="H543" s="90" t="n">
        <v>0</v>
      </c>
      <c r="I543" s="90" t="n">
        <v>12.8</v>
      </c>
    </row>
    <row r="544" ht="17.25" customHeight="1" s="66">
      <c r="A544" s="65" t="inlineStr">
        <is>
          <t>332004</t>
        </is>
      </c>
      <c r="B544" s="68" t="inlineStr">
        <is>
          <t>제조업</t>
        </is>
      </c>
      <c r="C544" s="68" t="inlineStr">
        <is>
          <t>의료, 정밀, 광학 기기 및 시계 제조업</t>
        </is>
      </c>
      <c r="D544" s="68" t="inlineStr">
        <is>
          <t>사진장비 및 광학기기 제조업</t>
        </is>
      </c>
      <c r="E544" s="68" t="inlineStr">
        <is>
          <t>기타 광학기기 및 사진기 제조업</t>
        </is>
      </c>
      <c r="F544" s="68" t="inlineStr">
        <is>
          <t>◦기타 광학 기기 및 그 부분품을 제조하는 산업활동을 말한다.
&lt;예 시&gt;
·쌍안 확대경 제조
·광학 천체 관측용 기기 제조
·광학 망원경 제조
·광학 현미경 제조              
·화기(火器)용 조정기 제조
·잠망경 제조
·광학 라이트빔 신호기 제조
·수지식 확대경 제조
·레이저 기기 제조(레이저 다이오드 제외)
&lt;제 외&gt;
·비광학식 현미경 제조(331207)
·레이저를 이용한 공작 기기 및 의료 기기 등은 용도에 따라 분류
·액정 디스플레이 제조(321005)</t>
        </is>
      </c>
      <c r="G544" s="90" t="n">
        <v>91</v>
      </c>
      <c r="H544" s="90" t="n">
        <v>0</v>
      </c>
      <c r="I544" s="90" t="n">
        <v>12.8</v>
      </c>
    </row>
    <row r="545" ht="17.25" customHeight="1" s="66">
      <c r="A545" s="65" t="inlineStr">
        <is>
          <t>333000</t>
        </is>
      </c>
      <c r="B545" s="68" t="inlineStr">
        <is>
          <t>제조업</t>
        </is>
      </c>
      <c r="C545" s="68" t="inlineStr">
        <is>
          <t>의료, 정밀, 광학 기기 및 시계 제조업</t>
        </is>
      </c>
      <c r="D545" s="68" t="inlineStr">
        <is>
          <t>시계 및 시계 부품 제조업</t>
        </is>
      </c>
      <c r="E545" s="68" t="inlineStr">
        <is>
          <t>시계 및 시계 부품 제조업</t>
        </is>
      </c>
      <c r="F545" s="68" t="inlineStr">
        <is>
          <t>◦수동, 전기, 축전기 등의 동력원에 의하여 작동되는 각종 시계, 기타 시각 기록 및 측정장치를 제조하는 산업활동을 말한다. 시계 작동부의 제조활동과 각종 시계 케이스 및 기타 시계 부품을 제조하는 산업활동도 포함한다.
&lt;예 시&gt;
·회중시계 제조
·시계 작동부 제조
·전자시계 제조
·타임 스위치 제조
·금속제 시곗줄 제조
·시계 부품 제조
·시계 케이스 제조
&lt;제 외&gt;
◦가죽제 시곗줄 제조(191201)
◦시계 유리 제조(261008)      
◦전자시계용 전자 부품 제조(321001)</t>
        </is>
      </c>
      <c r="G545" s="90" t="n">
        <v>91.3</v>
      </c>
      <c r="H545" s="90" t="n">
        <v>0</v>
      </c>
      <c r="I545" s="90" t="n">
        <v>11.9</v>
      </c>
    </row>
    <row r="546" ht="17.25" customHeight="1" s="66">
      <c r="A546" s="65" t="inlineStr">
        <is>
          <t>341001</t>
        </is>
      </c>
      <c r="B546" s="68" t="inlineStr">
        <is>
          <t>제조업</t>
        </is>
      </c>
      <c r="C546" s="68" t="inlineStr">
        <is>
          <t>자동차 및 트레일러 제조업</t>
        </is>
      </c>
      <c r="D546" s="68" t="inlineStr">
        <is>
          <t>자동차 제조업</t>
        </is>
      </c>
      <c r="E546" s="68" t="inlineStr">
        <is>
          <t>내연기관 화물자동차 및 특수목적용 자동차 제조업, 전기 화물자동차 및 특수목적용 전기 자동차 제조업</t>
        </is>
      </c>
      <c r="F546" s="68" t="inlineStr">
        <is>
          <t>◦내연기관이나 전기에너지가 주동력인 화물 자동차, 세미 트레일러(semi-trailer) 견인용의 도로 주행식 트랙터(tractor) 등 화물 운송용 완성차, 각종 특수 목적용 완성차를 제조하는 산업활동을 말하며, 화물 운송용 및 특수 목적용으로 사용되는 엔진을 갖춘 섀시(chassis)를 직접 제조하는 경우를 포함한다.
&lt;예 시&gt;
·(전기)기중기차 제조	
·도로 주행용 덤프 트럭 제조
·(전기)소방차 제조	
·특수 목적용 자동차 제조(승용 제외)
·도로 (전기)청소차 제조	
·(전기) 콘크리트 믹서 운반차 제조
·(전기)이동 공작차 제조	
·(전기)살포차 제조
·(전기)이동 방송차 제조	
·(전기)구난차 제조
&lt;제 외&gt;
·엔진을 갖춘 섀시를 구입하고, 이에 각종 특수 장치를 부착하여 각종 완성차를 제조(342001)
·광산 등에 사용하기 위해 특수 제작된 덤프 트럭은 건설 및 광산용 기계장비 제조(292400)
·공장, 창고, 부두, 공항 등에서 각종 화물 운반 및 취급용으로 사용하는 비도로 주행용 트럭 제조업(291501)</t>
        </is>
      </c>
      <c r="G546" s="90" t="n">
        <v>89.59999999999999</v>
      </c>
      <c r="H546" s="90" t="n">
        <v>0</v>
      </c>
      <c r="I546" s="90" t="n">
        <v>11.4</v>
      </c>
    </row>
    <row r="547" ht="17.25" customHeight="1" s="66">
      <c r="A547" s="65" t="inlineStr">
        <is>
          <t>341003</t>
        </is>
      </c>
      <c r="B547" s="68" t="inlineStr">
        <is>
          <t>제조업</t>
        </is>
      </c>
      <c r="C547" s="68" t="inlineStr">
        <is>
          <t>자동차 및 트레일러 제조업</t>
        </is>
      </c>
      <c r="D547" s="68" t="inlineStr">
        <is>
          <t>자동차용 엔진 제조업</t>
        </is>
      </c>
      <c r="E547" s="68" t="inlineStr">
        <is>
          <t>자동차용 엔진 제조업</t>
        </is>
      </c>
      <c r="F547" s="68" t="inlineStr">
        <is>
          <t>◦도로 주행용 차량, 트랙터, 작업 트럭 및 장갑 차량용의 내연기관을 제조하는 산업활동을 말한다.
&lt;예 시&gt;
·압축 점화식 내연기관 제조
·왕복식 피스톤 내연기관 제조   
·불꽃 점화식 내연기관 제조
·회전식 피스톤 내연기관 제조</t>
        </is>
      </c>
      <c r="G547" s="90" t="n">
        <v>89.59999999999999</v>
      </c>
      <c r="H547" s="90" t="n">
        <v>0</v>
      </c>
      <c r="I547" s="90" t="n">
        <v>12.7</v>
      </c>
    </row>
    <row r="548" ht="17.25" customHeight="1" s="66">
      <c r="A548" s="65" t="inlineStr">
        <is>
          <t>341004</t>
        </is>
      </c>
      <c r="B548" s="68" t="inlineStr">
        <is>
          <t>제조업</t>
        </is>
      </c>
      <c r="C548" s="68" t="inlineStr">
        <is>
          <t>자동차 및 트레일러 제조업</t>
        </is>
      </c>
      <c r="D548" s="68" t="inlineStr">
        <is>
          <t>자동차 제조업</t>
        </is>
      </c>
      <c r="E548" s="68" t="inlineStr">
        <is>
          <t>내연기관 승용차 및 기타 여객용 자동차 제조, 전기 승용차 및 기타 여객용 전기 자동차 제조업</t>
        </is>
      </c>
      <c r="F548" s="68" t="inlineStr">
        <is>
          <t>◦내연기관이나 전기에너지가 주동력인 승용차, 버스 및 기타 승용으로 제작된 완성차를 제조하거나 엔진이 결합된 여객용 자동차 섀시를 제조하는 산업활동을 말한다.
&lt;예 시&gt;
·설상용 (전기)승용차량 제조                   
·골프용 (전기)차량 제조
·특수 목적용 (전기)승용차 제조                
·대중 수송용 (전기)자동차 제조
·(전기자동차인)스테이션 왜건 제조          
·(전기)구급차 제조
&lt;제 외&gt;
·엔진이 결합된 섀시를 구입하고 이에 각종 특수 장치를 부착하여 각종 완성차를 제조하는 경우(342001)</t>
        </is>
      </c>
      <c r="G548" s="90" t="n">
        <v>89.59999999999999</v>
      </c>
      <c r="H548" s="90" t="n">
        <v>0</v>
      </c>
      <c r="I548" s="90" t="n">
        <v>12.7</v>
      </c>
    </row>
    <row r="549" ht="17.25" customHeight="1" s="66">
      <c r="A549" s="65" t="inlineStr">
        <is>
          <t>342000</t>
        </is>
      </c>
      <c r="B549" s="68" t="inlineStr">
        <is>
          <t>제조업</t>
        </is>
      </c>
      <c r="C549" s="68" t="inlineStr">
        <is>
          <t>자동차 및 트레일러 제조업</t>
        </is>
      </c>
      <c r="D549" s="68" t="inlineStr">
        <is>
          <t>자동차 차체 및 트레일러 제조업</t>
        </is>
      </c>
      <c r="E549" s="68" t="inlineStr">
        <is>
          <t>트레일러 및 세미 트레일러 제조업</t>
        </is>
      </c>
      <c r="F549" s="68" t="inlineStr">
        <is>
          <t>◦각종 자동차에 의하여 견인될 수 있도록 설계된 트레일러, 세미 트레일러 및 상품 운송용으로 설계, 제작되고 특수 구조를 갖춘 컨테이너를 제조하는 산업활동을 말한다.
&lt;예 시&gt;
·트레일러 제조
·트레일러 부분품 제조
·차량용 컨테이너 제조
·리프트용 운반 컨테이너 제조
&lt;제 외&gt;
·농업용으로 특수 설계된 트레일러 및 세미 트레일러 제조(292100)
·건물용 컨테이너 제조(281106)</t>
        </is>
      </c>
      <c r="G549" s="90" t="n">
        <v>89.59999999999999</v>
      </c>
      <c r="H549" s="90" t="n">
        <v>0</v>
      </c>
      <c r="I549" s="90" t="n">
        <v>9</v>
      </c>
    </row>
    <row r="550" ht="17.25" customHeight="1" s="66">
      <c r="A550" s="65" t="inlineStr">
        <is>
          <t>342001</t>
        </is>
      </c>
      <c r="B550" s="68" t="inlineStr">
        <is>
          <t>제조업</t>
        </is>
      </c>
      <c r="C550" s="68" t="inlineStr">
        <is>
          <t>자동차 및 트레일러 제조업</t>
        </is>
      </c>
      <c r="D550" s="68" t="inlineStr">
        <is>
          <t>자동차 차체 및 트레일러 제조업</t>
        </is>
      </c>
      <c r="E550" s="68" t="inlineStr">
        <is>
          <t>차체 및 특장차 제조업</t>
        </is>
      </c>
      <c r="F550" s="68" t="inlineStr">
        <is>
          <t>◦각종 자동차의 차체를 제조하거나 엔진이 결합된 섀시(chassis)에 특정 목적용의 차체를 결합하여 특장차를 제조하는 산업활동을 말한다. 여기에는 구입한 섀시에 특장을 결합하는 활동을 포함한다.
&lt;예 시&gt;
·자동차 차체 제조
·여객 운송용 특장차 제조
·소방차 특장 제조
·농업용 살포차 특장 제조
·기중기차 특장 제조
·특수목적용 차량 특장 제조
·특수 운송차량 특장 제조
·콘크리트 믹서 운반차 특장 제조
&lt;제 외&gt;
·차체용 신품 부품 및 부속품 제조(343002)
·엔진이 결합된 자동차용 섀시만을 제조하거나 엔진이 결합된 섀시를 제조하여 직접 완성 자동차를 제조하는 경우(341004 또는 341001)</t>
        </is>
      </c>
      <c r="G550" s="90" t="n">
        <v>89.59999999999999</v>
      </c>
      <c r="H550" s="90" t="n">
        <v>0</v>
      </c>
      <c r="I550" s="90" t="n">
        <v>10</v>
      </c>
    </row>
    <row r="551" ht="17.25" customHeight="1" s="66">
      <c r="A551" s="65" t="inlineStr">
        <is>
          <t>342002</t>
        </is>
      </c>
      <c r="B551" s="68" t="inlineStr">
        <is>
          <t>제조업</t>
        </is>
      </c>
      <c r="C551" s="68" t="inlineStr">
        <is>
          <t>자동차 및 트레일러 제조업</t>
        </is>
      </c>
      <c r="D551" s="68" t="inlineStr">
        <is>
          <t>자동차 차체 및 트레일러 제조업</t>
        </is>
      </c>
      <c r="E551" s="68" t="inlineStr">
        <is>
          <t>자동차 구조 및 장치 변경업</t>
        </is>
      </c>
      <c r="F551" s="68" t="inlineStr">
        <is>
          <t>◦각종 자동차의 성능 향상을 위한 구조 변경과 적재◦승차장치 구조를 변경하는 산업활동을 말한다. 엔진 출력 향상은 연소실 압축비 변경, 라디에이터, 오일 펌프 등 관련 부품 또는 장치를 변경하는 작업을 포함하며, 그 외 제동장치, 현가장치, 냉각장치, 섀시, 차량 중량 등 기본 설계 기준을 재설계하여 주행 성능, 제동 성능, 조정 안전성 등을 향상시키거나 구조, 장치 및 부품 소재(티타늄, 카본 파이버, 우레탄 등)까지 변경하는 작업을 포함하며, 자동차 전ㆍ후 축의 중량 및 길이ㆍ너비ㆍ높이 등을 변경하는 작업도 포함한다.</t>
        </is>
      </c>
      <c r="G551" s="90" t="n">
        <v>89.59999999999999</v>
      </c>
      <c r="H551" s="90" t="n">
        <v>0</v>
      </c>
      <c r="I551" s="90" t="n">
        <v>11.1</v>
      </c>
    </row>
    <row r="552" ht="17.25" customHeight="1" s="66">
      <c r="A552" s="65" t="inlineStr">
        <is>
          <t>343000</t>
        </is>
      </c>
      <c r="B552" s="68" t="inlineStr">
        <is>
          <t>제조업</t>
        </is>
      </c>
      <c r="C552" s="68" t="inlineStr">
        <is>
          <t>자동차 및 트레일러 제조업</t>
        </is>
      </c>
      <c r="D552" s="68" t="inlineStr">
        <is>
          <t>자동차용 기타 신품 부품 제조업</t>
        </is>
      </c>
      <c r="E552" s="68" t="inlineStr">
        <is>
          <t>그 외 자동차용 신품 부품 제조업</t>
        </is>
      </c>
      <c r="F552" s="68" t="inlineStr">
        <is>
          <t>◦기타 자동차용 신품 부품을 제조하는 산업활동을 말한다.
&lt;예 시&gt;
·에어백 조립품 제조
·자동차용 방열기 제조
·소음기 제조
·냉각장치 제조
·보기륜(로드휠) 및 그 부분품 제조
·배기관 제조
·연료탱크 제조
·차륜 제조
·안전벨트 제조
·조립된 자동차용 섀시 프레임 제조</t>
        </is>
      </c>
      <c r="G552" s="90" t="n">
        <v>90.59999999999999</v>
      </c>
      <c r="H552" s="90" t="n">
        <v>0</v>
      </c>
      <c r="I552" s="90" t="n">
        <v>9.199999999999999</v>
      </c>
    </row>
    <row r="553" ht="17.25" customHeight="1" s="66">
      <c r="A553" s="65" t="inlineStr">
        <is>
          <t>343001</t>
        </is>
      </c>
      <c r="B553" s="68" t="inlineStr">
        <is>
          <t>제조업</t>
        </is>
      </c>
      <c r="C553" s="68" t="inlineStr">
        <is>
          <t>자동차 및 트레일러 제조업</t>
        </is>
      </c>
      <c r="D553" s="68" t="inlineStr">
        <is>
          <t>자동차 엔진용 신품 부품 제조업</t>
        </is>
      </c>
      <c r="E553" s="68" t="inlineStr">
        <is>
          <t>자동차 엔진용 신품 부품 제조업</t>
        </is>
      </c>
      <c r="F553" s="68" t="inlineStr">
        <is>
          <t>◦자동차용 내연기관의 신품 부분품 및 부속품을 제조하는 산업활동을 말한다.
&lt;예 시&gt;
·기화기(카뷰레터) 제조
·피스톤 제조
·피스톤 링 및 밸브 제조
·엔진 부분품 제조
·엔진용 냉각장치 제조
·흡·배기장치(밸브, 매니폴드 등) 제조
·실린더 블록 및 헤드 제조
&lt;제 외&gt;
·연료·물 펌프(인젝션 펌프 등), 오일 필터 제조(자동차 엔진용)(291200~291202)</t>
        </is>
      </c>
      <c r="G553" s="90" t="n">
        <v>90.59999999999999</v>
      </c>
      <c r="H553" s="90" t="n">
        <v>0</v>
      </c>
      <c r="I553" s="90" t="n">
        <v>10.2</v>
      </c>
    </row>
    <row r="554" ht="17.25" customHeight="1" s="66">
      <c r="A554" s="65" t="inlineStr">
        <is>
          <t>343002</t>
        </is>
      </c>
      <c r="B554" s="68" t="inlineStr">
        <is>
          <t>제조업</t>
        </is>
      </c>
      <c r="C554" s="68" t="inlineStr">
        <is>
          <t>자동차 및 트레일러 제조업</t>
        </is>
      </c>
      <c r="D554" s="68" t="inlineStr">
        <is>
          <t>자동차 차체용 신품 부품 제조업</t>
        </is>
      </c>
      <c r="E554" s="68" t="inlineStr">
        <is>
          <t>자동차 차체용 신품 부품 제조업</t>
        </is>
      </c>
      <c r="F554" s="68" t="inlineStr">
        <is>
          <t>◦자동차 차체를 구성하는 각종 신품 부분품을 제조하는 산업활동을 말한다.
&lt;예 시&gt;
·자동차용 조립 패널 제조
·자동차용 보닛(덮개) 제조
·차량용 문짝(도어) 제조
·범퍼 제조
·계기반(dashboard) 조립품 제조(자동차용)
·자동차 도어, 천장, 트렁크 제조</t>
        </is>
      </c>
      <c r="G554" s="90" t="n">
        <v>90.59999999999999</v>
      </c>
      <c r="H554" s="90" t="n">
        <v>0</v>
      </c>
      <c r="I554" s="90" t="n">
        <v>10.9</v>
      </c>
    </row>
    <row r="555" ht="17.25" customHeight="1" s="66">
      <c r="A555" s="65" t="inlineStr">
        <is>
          <t>343003</t>
        </is>
      </c>
      <c r="B555" s="68" t="inlineStr">
        <is>
          <t>제조업</t>
        </is>
      </c>
      <c r="C555" s="68" t="inlineStr">
        <is>
          <t>자동차 및 트레일러 제조업</t>
        </is>
      </c>
      <c r="D555" s="68" t="inlineStr">
        <is>
          <t>자동차용 신품 동력 전달장치 및 전기장치 제조업</t>
        </is>
      </c>
      <c r="E555" s="68" t="inlineStr">
        <is>
          <t>자동차용 신품 동력 전달장치 제조업</t>
        </is>
      </c>
      <c r="F555" s="68" t="inlineStr">
        <is>
          <t>◦기어, 클러치, 수동 및 자동 변속기, 구동 축 등 자동차 신품 동력 전달장치를 제조하는 산업활동을 말한다.
&lt;예 시&gt;
·기어 및 수동·자동 변속기 제조
·클러치 및 부분품 제조
·구동 차축 제조</t>
        </is>
      </c>
      <c r="G555" s="90" t="n">
        <v>90.59999999999999</v>
      </c>
      <c r="H555" s="90" t="n">
        <v>0</v>
      </c>
      <c r="I555" s="90" t="n">
        <v>10.2</v>
      </c>
    </row>
    <row r="556" ht="17.25" customHeight="1" s="66">
      <c r="A556" s="65" t="inlineStr">
        <is>
          <t>343004</t>
        </is>
      </c>
      <c r="B556" s="68" t="inlineStr">
        <is>
          <t>제조업</t>
        </is>
      </c>
      <c r="C556" s="68" t="inlineStr">
        <is>
          <t>자동차 및 트레일러 제조업</t>
        </is>
      </c>
      <c r="D556" s="68" t="inlineStr">
        <is>
          <t>자동차용 신품 동력 전달장치 및 전기장치 제조업</t>
        </is>
      </c>
      <c r="E556" s="68" t="inlineStr">
        <is>
          <t>자동차용 신품 전기장치 제조업</t>
        </is>
      </c>
      <c r="F556" s="68" t="inlineStr">
        <is>
          <t>◦시동 및 점화장치, 배선장치, 전압 조절기 등의 차량용 신품 전기장치를 제조하는 산업활동을 말한다.
&lt;예 시&gt;
·자동차용 발전기 제조
·자동차용 교류기 제조
·점화 플러그 제조
·점화 배선 제조
·파워 윈도우 시스템 제조
·제무기, 제상기, 와이퍼 제조
·차량용 전압 조절기 제조
·자동차용 크랭크 회전식 모터 제조
&lt;제 외&gt;
·자동차 이외의 내연기관용 전기장치 제조(319002)
·차량용 조명장치 제조(319001)</t>
        </is>
      </c>
      <c r="G556" s="90" t="n">
        <v>90.59999999999999</v>
      </c>
      <c r="H556" s="90" t="n">
        <v>0</v>
      </c>
      <c r="I556" s="90" t="n">
        <v>10.2</v>
      </c>
    </row>
    <row r="557" ht="17.25" customHeight="1" s="66">
      <c r="A557" s="65" t="inlineStr">
        <is>
          <t>343005</t>
        </is>
      </c>
      <c r="B557" s="68" t="inlineStr">
        <is>
          <t>제조업</t>
        </is>
      </c>
      <c r="C557" s="68" t="inlineStr">
        <is>
          <t>자동차 및 트레일러 제조업</t>
        </is>
      </c>
      <c r="D557" s="68" t="inlineStr">
        <is>
          <t>자동차용 기타 신품 부품 제조업</t>
        </is>
      </c>
      <c r="E557" s="68" t="inlineStr">
        <is>
          <t>자동차용 신품 조향장치 및 현가장치 제조업</t>
        </is>
      </c>
      <c r="F557" s="68" t="inlineStr">
        <is>
          <t>◦자동차용 완충기, 서스펜션, 운전대 등 신품 조향장치, 현가장치 및 관련 부속품을 제조하는 산업활동을 말한다.
&lt;예 시&gt;
·완충기, 서스펜션 및 부분품 제조
·운전대 및 운전 박스 제조
·기타 조향장치 제조
·기타 현가장치 제조</t>
        </is>
      </c>
      <c r="G557" s="90" t="n">
        <v>90.59999999999999</v>
      </c>
      <c r="H557" s="90" t="n">
        <v>0</v>
      </c>
      <c r="I557" s="90" t="n">
        <v>10.2</v>
      </c>
    </row>
    <row r="558" ht="17.25" customHeight="1" s="66">
      <c r="A558" s="65" t="inlineStr">
        <is>
          <t>343006</t>
        </is>
      </c>
      <c r="B558" s="68" t="inlineStr">
        <is>
          <t>제조업</t>
        </is>
      </c>
      <c r="C558" s="68" t="inlineStr">
        <is>
          <t>자동차 및 트레일러 제조업</t>
        </is>
      </c>
      <c r="D558" s="68" t="inlineStr">
        <is>
          <t>자동차용 기타 신품 부품 제조업</t>
        </is>
      </c>
      <c r="E558" s="68" t="inlineStr">
        <is>
          <t>자동차용 신품 제동장치 제조업</t>
        </is>
      </c>
      <c r="F558" s="68" t="inlineStr">
        <is>
          <t>◦자동차용 브레이크 등 신품 제동장치 및 관련 부속품을 제조하는 산업활동을 말한다.
&lt;예 시&gt;
·자동차용 브레이크 및 관련 부분품 제조
·자동차용 전자 제어식 제동장치(ABS) 제조
·제동장치 및 부분품 제조</t>
        </is>
      </c>
      <c r="G558" s="90" t="n">
        <v>90.59999999999999</v>
      </c>
      <c r="H558" s="90" t="n">
        <v>0</v>
      </c>
      <c r="I558" s="90" t="n">
        <v>10.2</v>
      </c>
    </row>
    <row r="559" ht="17.25" customHeight="1" s="66">
      <c r="A559" s="65" t="inlineStr">
        <is>
          <t>343007</t>
        </is>
      </c>
      <c r="B559" s="68" t="inlineStr">
        <is>
          <t>제조업</t>
        </is>
      </c>
      <c r="C559" s="68" t="inlineStr">
        <is>
          <t>자동차 및 트레일러 제조업</t>
        </is>
      </c>
      <c r="D559" s="68" t="inlineStr">
        <is>
          <t>자동차 재제조 부품 제조업</t>
        </is>
      </c>
      <c r="E559" s="68" t="inlineStr">
        <is>
          <t>자동차 재제조 부품 제조업</t>
        </is>
      </c>
      <c r="F559" s="68" t="inlineStr">
        <is>
          <t>◦중고 부품 등 재활용 가능 자원을 완전 분해, 내부 세척, 검사, 부품 교체 및 조정, 수리, 재조립 등 일련의 재제조 과정을 거쳐 신품 성능을 유지할 수 있는 상태로 만드는 산업활동을 말한다.
&lt;예 시&gt;
·자동차 엔진 및 차체 재제조 부품 제조
·자동차 재제조 동력 전달장치·전기장치·제동장치·현가장치·조향장치 및 기타 재제조 부품 제조</t>
        </is>
      </c>
      <c r="G559" s="90" t="n">
        <v>90.59999999999999</v>
      </c>
      <c r="H559" s="90" t="n">
        <v>0</v>
      </c>
      <c r="I559" s="90" t="n">
        <v>10.2</v>
      </c>
    </row>
    <row r="560" ht="17.25" customHeight="1" s="66">
      <c r="A560" s="65" t="inlineStr">
        <is>
          <t>351101</t>
        </is>
      </c>
      <c r="B560" s="68" t="inlineStr">
        <is>
          <t>제조업</t>
        </is>
      </c>
      <c r="C560" s="68" t="inlineStr">
        <is>
          <t>기타 운송장비 제조업</t>
        </is>
      </c>
      <c r="D560" s="68" t="inlineStr">
        <is>
          <t>선박 및 수상 부유 구조물 건조업</t>
        </is>
      </c>
      <c r="E560" s="68" t="inlineStr">
        <is>
          <t>강선 건조업</t>
        </is>
      </c>
      <c r="F560" s="68" t="inlineStr">
        <is>
          <t>◦선박 제조◦수리시설을 갖추고, 철강을 사용하여 화물 및 여객 운송용, 어업 및 어획물 가공용, 군사용 선박 및 보트를 건조◦수리하는 산업활동을 말한다.
&lt;예 시&gt;
·유조선 제조
·군함 제조
·화물 및 여객 운송용 강선 제조
·화물 및 수산물 운반용 냉동선 제조
·구명 보트 제조
·예인선 및 푸셔 크라프트 제조
·페리 보트(도선) 제조
·어선 및 어획물 가공용, 저장용 선박 제조
&lt;제 외&gt;
·병원선, 학술 연구선, 시험선 등 특수 선박 제조(351105)</t>
        </is>
      </c>
      <c r="G560" s="90" t="n">
        <v>94.5</v>
      </c>
      <c r="H560" s="90" t="n">
        <v>0</v>
      </c>
      <c r="I560" s="90" t="n">
        <v>11</v>
      </c>
    </row>
    <row r="561" ht="17.25" customHeight="1" s="66">
      <c r="A561" s="65" t="inlineStr">
        <is>
          <t>351102</t>
        </is>
      </c>
      <c r="B561" s="68" t="inlineStr">
        <is>
          <t>제조업</t>
        </is>
      </c>
      <c r="C561" s="68" t="inlineStr">
        <is>
          <t>기타 운송장비 제조업</t>
        </is>
      </c>
      <c r="D561" s="68" t="inlineStr">
        <is>
          <t>선박 및 수상 부유 구조물 건조업</t>
        </is>
      </c>
      <c r="E561" s="68" t="inlineStr">
        <is>
          <t>기타 선박 건조업</t>
        </is>
      </c>
      <c r="F561" s="68" t="inlineStr">
        <is>
          <t>◦주로 목재를 사용하여 어선 및 어획물의 가공저장선, 화물선, 여객선 등과 같은 각종 항해용 선박의 건조 및 수리
&lt;예 시&gt;
·목선거룻배, 목조순항선 등</t>
        </is>
      </c>
      <c r="G561" s="90" t="n">
        <v>95.40000000000001</v>
      </c>
      <c r="H561" s="90" t="n">
        <v>0</v>
      </c>
      <c r="I561" s="90" t="n">
        <v>4.3</v>
      </c>
    </row>
    <row r="562" ht="17.25" customHeight="1" s="66">
      <c r="A562" s="65" t="inlineStr">
        <is>
          <t>351103</t>
        </is>
      </c>
      <c r="B562" s="68" t="inlineStr">
        <is>
          <t>제조업</t>
        </is>
      </c>
      <c r="C562" s="68" t="inlineStr">
        <is>
          <t>기타 운송장비 제조업</t>
        </is>
      </c>
      <c r="D562" s="68" t="inlineStr">
        <is>
          <t>선박 및 수상 부유 구조물 건조업</t>
        </is>
      </c>
      <c r="E562" s="68" t="inlineStr">
        <is>
          <t>선박 구성 부분품 제조업</t>
        </is>
      </c>
      <c r="F562" s="68" t="inlineStr">
        <is>
          <t>◦각종 선박 또는 수상 부유 구조물의 구성 부분품을 제조하는 산업활동을 말한다.
&lt;예 시&gt;
·선박 구성 부분품 제조
·수상 부유 구조물 구성 부분품 제조</t>
        </is>
      </c>
      <c r="G562" s="90" t="n">
        <v>94.09999999999999</v>
      </c>
      <c r="H562" s="90" t="n">
        <v>0</v>
      </c>
      <c r="I562" s="90" t="n">
        <v>10.3</v>
      </c>
    </row>
    <row r="563" ht="17.25" customHeight="1" s="66">
      <c r="A563" s="65" t="inlineStr">
        <is>
          <t>351104</t>
        </is>
      </c>
      <c r="B563" s="68" t="inlineStr">
        <is>
          <t>수도, 하수 및 폐기물처리, 원료재생업</t>
        </is>
      </c>
      <c r="C563" s="68" t="inlineStr">
        <is>
          <t>폐기물 수집, 운반, 처리 및 원료 재생업</t>
        </is>
      </c>
      <c r="D563" s="68" t="inlineStr">
        <is>
          <t>금속류 해체, 선별 및 원료 재생업</t>
        </is>
      </c>
      <c r="E563" s="68" t="inlineStr">
        <is>
          <t>금속류 해체 및 선별업</t>
        </is>
      </c>
      <c r="F563" s="68" t="inlineStr">
        <is>
          <t>◦선박해체</t>
        </is>
      </c>
      <c r="G563" s="90" t="n">
        <v>93.5</v>
      </c>
      <c r="H563" s="90" t="n">
        <v>0</v>
      </c>
      <c r="I563" s="90" t="n">
        <v>15</v>
      </c>
    </row>
    <row r="564" ht="17.25" customHeight="1" s="66">
      <c r="A564" s="65" t="inlineStr">
        <is>
          <t>351105</t>
        </is>
      </c>
      <c r="B564" s="68" t="inlineStr">
        <is>
          <t>제조업</t>
        </is>
      </c>
      <c r="C564" s="68" t="inlineStr">
        <is>
          <t>기타 운송장비 제조업</t>
        </is>
      </c>
      <c r="D564" s="68" t="inlineStr">
        <is>
          <t>선박 및 수상 부유 구조물 건조업</t>
        </is>
      </c>
      <c r="E564" s="68" t="inlineStr">
        <is>
          <t>기타 선박 건조업</t>
        </is>
      </c>
      <c r="F564" s="68" t="inlineStr">
        <is>
          <t>◦쇄빙선, 공장선 및 특수선박의 건조 및 수리
&lt;예 시&gt;
·급유선, 바지선, 벌크선, 액화가스운반선, 포경선 등</t>
        </is>
      </c>
      <c r="G564" s="90" t="n">
        <v>94.5</v>
      </c>
      <c r="H564" s="90" t="n">
        <v>0</v>
      </c>
      <c r="I564" s="90" t="n">
        <v>12.8</v>
      </c>
    </row>
    <row r="565" ht="17.25" customHeight="1" s="66">
      <c r="A565" s="65" t="inlineStr">
        <is>
          <t>351106</t>
        </is>
      </c>
      <c r="B565" s="68" t="inlineStr">
        <is>
          <t>제조업</t>
        </is>
      </c>
      <c r="C565" s="68" t="inlineStr">
        <is>
          <t>기타 운송장비 제조업</t>
        </is>
      </c>
      <c r="D565" s="68" t="inlineStr">
        <is>
          <t>선박 및 수상 부유 구조물 건조업</t>
        </is>
      </c>
      <c r="E565" s="68" t="inlineStr">
        <is>
          <t>합성수지선 건조업</t>
        </is>
      </c>
      <c r="F565" s="68" t="inlineStr">
        <is>
          <t>◦선박 제조◦수리시설을 갖추고, 주로 합성수지를 사용하여 화물 및 여객 운송용, 어업 및 어획물 가공용, 군사용 선박 및 보트를 건조ㆍ수리하는 산업활동을 말한다.
&lt;예 시&gt;
·합성수지선 건조</t>
        </is>
      </c>
      <c r="G565" s="90" t="n">
        <v>94.09999999999999</v>
      </c>
      <c r="H565" s="90" t="n">
        <v>0</v>
      </c>
      <c r="I565" s="90" t="n">
        <v>12.8</v>
      </c>
    </row>
    <row r="566" ht="17.25" customHeight="1" s="66">
      <c r="A566" s="65" t="inlineStr">
        <is>
          <t>351107</t>
        </is>
      </c>
      <c r="B566" s="68" t="inlineStr">
        <is>
          <t>제조업</t>
        </is>
      </c>
      <c r="C566" s="68" t="inlineStr">
        <is>
          <t>기타 운송장비 제조업</t>
        </is>
      </c>
      <c r="D566" s="68" t="inlineStr">
        <is>
          <t>선박 및 수상 부유 구조물 건조업</t>
        </is>
      </c>
      <c r="E566" s="68" t="inlineStr">
        <is>
          <t>기타 선박 건조업</t>
        </is>
      </c>
      <c r="F566" s="68" t="inlineStr">
        <is>
          <t>◦선박 제조◦수리시설을 갖추고, 철강 및 합성수지 이외의 비철금속 등을 사용하여 화물 및 여객 운송용, 어업 및 어획물 가공용, 군사용 선박 및 보트를 건조ㆍ수리하는 산업활동을 말한다. 준설선, 시추대 및 기타 수상 부유 작업대, 수상 구조물 및 기타 비항해용 선박을 건조◦수리하는 산업활동도 포함한다.
&lt;예 시&gt;
·준설선 제조
·해난 구조선 제조
·소방선 제조
·비항해용 선박 제조           
·수상 구조물 제조
·수상 작업대 제조
·물에 뜨는 구조물 제조
·수상 부유 작업대 제조
&lt;제 외&gt;
*쇄빙선, 공장선 및 특수선박의 건조 및 수리(→351105)
*주로 목재를 사용하여 어선, 여객선등과 같은 각종 항해용 선박의 건조 및 수리
 (→351102)</t>
        </is>
      </c>
      <c r="G566" s="90" t="n">
        <v>94.09999999999999</v>
      </c>
      <c r="H566" s="90" t="n">
        <v>0</v>
      </c>
      <c r="I566" s="90" t="n">
        <v>12.8</v>
      </c>
    </row>
    <row r="567" ht="17.25" customHeight="1" s="66">
      <c r="A567" s="65" t="inlineStr">
        <is>
          <t>351200</t>
        </is>
      </c>
      <c r="B567" s="68" t="inlineStr">
        <is>
          <t>제조업</t>
        </is>
      </c>
      <c r="C567" s="68" t="inlineStr">
        <is>
          <t>기타 운송장비 제조업</t>
        </is>
      </c>
      <c r="D567" s="68" t="inlineStr">
        <is>
          <t>오락 및 스포츠용 보트 건조업</t>
        </is>
      </c>
      <c r="E567" s="68" t="inlineStr">
        <is>
          <t>오락 및 스포츠용 보트 건조업</t>
        </is>
      </c>
      <c r="F567" s="68" t="inlineStr">
        <is>
          <t>◦모터, 풍력, 페달, 노에 의하여 추진될 수 있는 카누, 범선, 요트 및 이와 유사한 보트를 건조하는 산업활동을 말한다. 노로 추진되는 소형 범선 및 구명정 등의 건조도 포함한다.
&lt;예 시&gt;
·유람용 보트 제조
·경기용 선박 제조
·운동용 선박 제조                 
·카약 제조
·구명정(노 추진식) 제조
·커터 제조
·낚시용 보트 제조
&lt;제 외&gt;
·선체가 오락용 보트와 유사하더라도 상업적 서비스용으로 특별히 설계 제작된 보트 제조(351105)</t>
        </is>
      </c>
      <c r="G567" s="90" t="n">
        <v>94.09999999999999</v>
      </c>
      <c r="H567" s="90" t="n">
        <v>0</v>
      </c>
      <c r="I567" s="90" t="n">
        <v>10.6</v>
      </c>
    </row>
    <row r="568" ht="17.25" customHeight="1" s="66">
      <c r="A568" s="65" t="inlineStr">
        <is>
          <t>352000</t>
        </is>
      </c>
      <c r="B568" s="68" t="inlineStr">
        <is>
          <t>제조업</t>
        </is>
      </c>
      <c r="C568" s="68" t="inlineStr">
        <is>
          <t>기타 운송장비 제조업</t>
        </is>
      </c>
      <c r="D568" s="68" t="inlineStr">
        <is>
          <t>철도장비 제조업</t>
        </is>
      </c>
      <c r="E568" s="68" t="inlineStr">
        <is>
          <t>철도 차량 부품 및 관련 장치물 제조업</t>
        </is>
      </c>
      <c r="F568" s="68" t="inlineStr">
        <is>
          <t>◦기관차 및 철도 차량 전용 부품을 제조하는 산업활동과 철도, 도로, 주차시설, 항만 등에서 사용되는 기계식 및 전자 기계식의 교통 안전용 기기 및 통제용 기기를 제조하는 산업활동을 말한다.
&lt;예 시&gt;
·철도 차량 전용 부품 제조
·전철기 제조
·철도 차량 대차(bogie), 차체, 차륜, 제동장치, 연결장치, 완충장치 제조
·막대식 교통 통제기 제조
·철도 차량용 의자(시트) 제조
&lt;제 외&gt;
·철도, 궤도 노선용 장치물(조립된 트랙, 전차대, 플랫폼 완충장치, 적재물 통제용 구조물)제조(281101)
·도로 교통 통제용 시각 및 음향 신호식 전기장치 제조(319005)
·조립되지 않은 레일 제조(271102)
·압형 또는 단조 금속제품 제조(289101~289104)
·차량용 일반 철물 제조(289302,289305)
·철도 기관차용 엔진 및 터빈 제조(291100,291101)</t>
        </is>
      </c>
      <c r="G568" s="90" t="n">
        <v>90.2</v>
      </c>
      <c r="H568" s="90" t="n">
        <v>0</v>
      </c>
      <c r="I568" s="90" t="n">
        <v>14.4</v>
      </c>
    </row>
    <row r="569" ht="17.25" customHeight="1" s="66">
      <c r="A569" s="65" t="inlineStr">
        <is>
          <t>352001</t>
        </is>
      </c>
      <c r="B569" s="68" t="inlineStr">
        <is>
          <t>제조업</t>
        </is>
      </c>
      <c r="C569" s="68" t="inlineStr">
        <is>
          <t>기타 운송장비 제조업</t>
        </is>
      </c>
      <c r="D569" s="68" t="inlineStr">
        <is>
          <t>철도장비 제조업</t>
        </is>
      </c>
      <c r="E569" s="68" t="inlineStr">
        <is>
          <t>기관차 및 기타 철도 차량 제조업</t>
        </is>
      </c>
      <c r="F569" s="68" t="inlineStr">
        <is>
          <t>◦철도 및 궤도용의 기관차 및 기타 철도 차량을 제조하는 산업활동을 말한다. 자주식 또는 비자주식의 것도 포함한다.
&lt;예 시&gt;
·객차 제조
·화차 제조
·철도 차량 제조
·유지·보수용 철도 차량 제조</t>
        </is>
      </c>
      <c r="G569" s="90" t="n">
        <v>90.2</v>
      </c>
      <c r="H569" s="90" t="n">
        <v>0</v>
      </c>
      <c r="I569" s="90" t="n">
        <v>14.4</v>
      </c>
    </row>
    <row r="570" ht="17.25" customHeight="1" s="66">
      <c r="A570" s="65" t="inlineStr">
        <is>
          <t>353000</t>
        </is>
      </c>
      <c r="B570" s="68" t="inlineStr">
        <is>
          <t>제조업</t>
        </is>
      </c>
      <c r="C570" s="68" t="inlineStr">
        <is>
          <t>기타 운송장비 제조업</t>
        </is>
      </c>
      <c r="D570" s="68" t="inlineStr">
        <is>
          <t>항공기용 엔진 및 부품 제조업</t>
        </is>
      </c>
      <c r="E570" s="68" t="inlineStr">
        <is>
          <t>항공기용 부품 제조업</t>
        </is>
      </c>
      <c r="F570" s="68" t="inlineStr">
        <is>
          <t>◦항공기 및 우주 비행체의 동체 및 그 부분품, 프로펠러, 회전 날개, 바퀴통 등의 항공기 전용부품, 우주선 및 우주선 운반 로켓의 전용 부품 등을 제조하는 산업활동을 말한다.
&lt;예 시&gt;
·항공기 엔진용 부품 제조
·항공기 갑판 착륙장치용 부품 제조
·항공기 발진장치용 부품 제조
·항공기 보조장치용 부품 제조
·항공기용 의자(시트) 제조
&lt;제 외&gt;
·우주선 발진장치, 갑판 착륙장치 및 지상 비행훈련 장치 제조(353001)</t>
        </is>
      </c>
      <c r="G570" s="90" t="n">
        <v>91.40000000000001</v>
      </c>
      <c r="H570" s="90" t="n">
        <v>0</v>
      </c>
      <c r="I570" s="90" t="n">
        <v>14.4</v>
      </c>
    </row>
    <row r="571" ht="17.25" customHeight="1" s="66">
      <c r="A571" s="65" t="inlineStr">
        <is>
          <t>353001</t>
        </is>
      </c>
      <c r="B571" s="68" t="inlineStr">
        <is>
          <t>제조업</t>
        </is>
      </c>
      <c r="C571" s="68" t="inlineStr">
        <is>
          <t>기타 운송장비 제조업</t>
        </is>
      </c>
      <c r="D571" s="68" t="inlineStr">
        <is>
          <t>항공기, 우주선 및 보조장치 제조업</t>
        </is>
      </c>
      <c r="E571" s="68" t="inlineStr">
        <is>
          <t>유인 항공기, 항공 우주선 및 보조장치 제조업</t>
        </is>
      </c>
      <c r="F571" s="68" t="inlineStr">
        <is>
          <t>◦사람에 의해 조종되는 동력ㆍ비동력 항공기, 비행선, 활공 기구 및 우주선, 기타 우주 비행체, 우주선 운반용 로켓 등을 제조◦재제조 및 개조하는 산업활동을 말한다. 여기에는 우주선 발진장치 및 갑판 착륙장치 또는 이와 유사한 장치, 지상 비행훈련 장치를 제조◦재제조 및 개조하는 활동도 포함한다.
&lt;예 시&gt;
·활공기 제조
·비행용 기구 제조
·인공위성 제조(각종용)
·무동력 항공기 제조
·지상 비행훈련 장치 제조
·패러글라이딩 제조
·대륙간 탄도 미사일 및 유사 미사일 제조
&lt;제 외&gt;
·항공용 엔진의 점화장치 및 기타 전기 부품 제조(319002)
·항공기에 사용되는 항공용 정밀기기 및 기타 과학기기 제조(331203,331207)
·취미, 스포츠용 무인 항공기 제조(369402)</t>
        </is>
      </c>
      <c r="G571" s="90" t="n">
        <v>91.40000000000001</v>
      </c>
      <c r="H571" s="90" t="n">
        <v>0</v>
      </c>
      <c r="I571" s="90" t="n">
        <v>14.4</v>
      </c>
    </row>
    <row r="572" ht="17.25" customHeight="1" s="66">
      <c r="A572" s="65" t="inlineStr">
        <is>
          <t>353002</t>
        </is>
      </c>
      <c r="B572" s="68" t="inlineStr">
        <is>
          <t>제조업</t>
        </is>
      </c>
      <c r="C572" s="68" t="inlineStr">
        <is>
          <t>기타 운송장비 제조업</t>
        </is>
      </c>
      <c r="D572" s="68" t="inlineStr">
        <is>
          <t>항공기, 우주선 및 보조장치 제조업</t>
        </is>
      </c>
      <c r="E572" s="68" t="inlineStr">
        <is>
          <t>무인 항공기 및 무인 비행장치 제조업</t>
        </is>
      </c>
      <c r="F572" s="68" t="inlineStr">
        <is>
          <t>◦조종사를 태우지 않고, 공기 역학적 힘에 의해 부양하여 자율적으로 또는 원격 조종으로 시계 밖 비행이 가능하며, 각종 장비를 장착하여 통신, 정보 중계, 감시, 물품 이송 등에 사용하는 일회용 또는 재사용할 수 있는 동력 항공기 및 비행장치를 제조하는 산업활동을 말한다. 스포츠 또는 취미용 비행 목적으로만 사용하는 소형 무인 비행장치는 제외한다.
&lt;예 시&gt;
·무인 항공기(드론, drone) 제조
·무인 비행장치 제조
&lt;제 외&gt;
·취미, 스포츠용 무인 비행장치 제조(369402)</t>
        </is>
      </c>
      <c r="G572" s="90" t="n">
        <v>91.40000000000001</v>
      </c>
      <c r="H572" s="90" t="n">
        <v>0</v>
      </c>
      <c r="I572" s="90" t="n">
        <v>9.6</v>
      </c>
    </row>
    <row r="573" ht="17.25" customHeight="1" s="66">
      <c r="A573" s="65" t="inlineStr">
        <is>
          <t>353003</t>
        </is>
      </c>
      <c r="B573" s="68" t="inlineStr">
        <is>
          <t>제조업</t>
        </is>
      </c>
      <c r="C573" s="68" t="inlineStr">
        <is>
          <t>기타 운송장비 제조업</t>
        </is>
      </c>
      <c r="D573" s="68" t="inlineStr">
        <is>
          <t>항공기용 엔진 및 부품 제조업</t>
        </is>
      </c>
      <c r="E573" s="68" t="inlineStr">
        <is>
          <t>항공기용 엔진 제조업</t>
        </is>
      </c>
      <c r="F573" s="68" t="inlineStr">
        <is>
          <t>◦비행기 또는 우주 비행체용의 모터 및 엔진을 제조◦개조하는 산업활동을 말한다. 각종 용도의 반동기관, 터보 프로펠러기관을 제조하는 산업활동도 포함한다.
&lt;예 시&gt;
·반동기관 제조
·항공기용 내연기관 제조
·터보 제트기관 제조
·램제트 및 펄스제트 엔진 제조
&lt;제 외&gt;
·항공기 엔진용 부품 제조(353000)</t>
        </is>
      </c>
      <c r="G573" s="90" t="n">
        <v>91.40000000000001</v>
      </c>
      <c r="H573" s="90" t="n">
        <v>0</v>
      </c>
      <c r="I573" s="90" t="n">
        <v>14.4</v>
      </c>
    </row>
    <row r="574" ht="17.25" customHeight="1" s="66">
      <c r="A574" s="65" t="inlineStr">
        <is>
          <t>359100</t>
        </is>
      </c>
      <c r="B574" s="68" t="inlineStr">
        <is>
          <t>제조업</t>
        </is>
      </c>
      <c r="C574" s="68" t="inlineStr">
        <is>
          <t>기타 운송장비 제조업</t>
        </is>
      </c>
      <c r="D574" s="68" t="inlineStr">
        <is>
          <t>모터사이클 및 개인용 전기식 이동수단 제조업</t>
        </is>
      </c>
      <c r="E574" s="68" t="inlineStr">
        <is>
          <t>모터사이클 제조업, 개인용 전기식 이동수단 제조업</t>
        </is>
      </c>
      <c r="F574" s="68" t="inlineStr">
        <is>
          <t>◦발동기가 달린 자전거(모페드), 모터사이클(이륜 자동차), 모터사이클용 엔진, 사이드카 등의 모터사이클을 제조하는 산업활동을 말한다. 개인용 전기식 이동수단을 제조하는 산업활동을 말한다. 퍼스널 모빌리티(PM. Personal Mobility) 등을 포함한다.
&lt;예 시&gt;
·모터사이클 제조
·모페드(발동기가 달린 자전거) 제조
·오토바이 제조
·사이드카 제조
·전기 자전거 제조                    
·전동킥보드 제조
&lt;제 외&gt;
·자전거 및 환자용 자동 차량 제조(359200)</t>
        </is>
      </c>
      <c r="G574" s="90" t="n">
        <v>89.59999999999999</v>
      </c>
      <c r="H574" s="90" t="n">
        <v>0</v>
      </c>
      <c r="I574" s="90" t="n">
        <v>10.4</v>
      </c>
    </row>
    <row r="575" ht="17.25" customHeight="1" s="66">
      <c r="A575" s="65" t="inlineStr">
        <is>
          <t>359200</t>
        </is>
      </c>
      <c r="B575" s="68" t="inlineStr">
        <is>
          <t>제조업</t>
        </is>
      </c>
      <c r="C575" s="68" t="inlineStr">
        <is>
          <t>기타 운송장비 제조업</t>
        </is>
      </c>
      <c r="D575" s="68" t="inlineStr">
        <is>
          <t>그 외 기타 분류 안된 운송장비 제조업</t>
        </is>
      </c>
      <c r="E575" s="68" t="inlineStr">
        <is>
          <t>자전거 및 환자용 차량 제조업</t>
        </is>
      </c>
      <c r="F575" s="68" t="inlineStr">
        <is>
          <t>◦한개 이상의 바퀴가 장착된 각종 비동력 자전거 및 환자용 차량을 제조하는 산업활동을 말한다.
&lt;예 시&gt;
·배달용 삼륜 자전거 제조
·신체 장애자용 운송장비 제조
·이륜 자전거 및 기타 자전거 제조(원동기가 장착되지 않은)
·환자용 운송장비 제조(동력식 또는 비동력식 포함)
·유모차 제조
&lt;제 외&gt;
·보조 원동기가 장착된 자전거 및 자전거용 사이드카 제조(359100)
·어린이용 삼륜 자전거 제조(369402)</t>
        </is>
      </c>
      <c r="G575" s="90" t="n">
        <v>90.5</v>
      </c>
      <c r="H575" s="90" t="n">
        <v>0</v>
      </c>
      <c r="I575" s="90" t="n">
        <v>6.8</v>
      </c>
    </row>
    <row r="576" ht="17.25" customHeight="1" s="66">
      <c r="A576" s="65" t="inlineStr">
        <is>
          <t>359201</t>
        </is>
      </c>
      <c r="B576" s="68" t="inlineStr">
        <is>
          <t>제조업</t>
        </is>
      </c>
      <c r="C576" s="68" t="inlineStr">
        <is>
          <t>기타 운송장비 제조업</t>
        </is>
      </c>
      <c r="D576" s="68" t="inlineStr">
        <is>
          <t>전투용 차량 제조업</t>
        </is>
      </c>
      <c r="E576" s="68" t="inlineStr">
        <is>
          <t>전투용 차량 제조업</t>
        </is>
      </c>
      <c r="F576" s="68" t="inlineStr">
        <is>
          <t>◦탱크 및 장갑 차량 등 전투용 차량을 제조하는 산업활동을 말한다.
&lt;예 시&gt;
·전차 제조
·장갑 차량 제조
·탱크 제조
&lt;제 외&gt;
·무기 및 총포탄 제조(292700)
·통화 운반용 또는 귀금속 운반용 장갑 차량 제조(341001)</t>
        </is>
      </c>
      <c r="G576" s="90" t="n">
        <v>90.5</v>
      </c>
      <c r="H576" s="90" t="n">
        <v>0</v>
      </c>
      <c r="I576" s="90" t="n">
        <v>13</v>
      </c>
    </row>
    <row r="577" ht="17.25" customHeight="1" s="66">
      <c r="A577" s="65" t="inlineStr">
        <is>
          <t>359202</t>
        </is>
      </c>
      <c r="B577" s="68" t="inlineStr">
        <is>
          <t>제조업</t>
        </is>
      </c>
      <c r="C577" s="68" t="inlineStr">
        <is>
          <t>기타 운송장비 제조업</t>
        </is>
      </c>
      <c r="D577" s="68" t="inlineStr">
        <is>
          <t>그 외 기타 분류 안된 운송장비 제조업</t>
        </is>
      </c>
      <c r="E577" s="68" t="inlineStr">
        <is>
          <t>그 외 기타 달리 분류되지 않은 운송장비 제조업</t>
        </is>
      </c>
      <c r="F577" s="68" t="inlineStr">
        <is>
          <t>◦동물 견인 차량, 상여 등 달리 분류되지 않은 운송장비를 제조하는 산업활동을 말한다.
&lt;예 시&gt;
·손수레 제조
·운송용 썰매 제조
·우마차 제조
·바퀴 달린 운반용 통 제조
·매장 등에 사용되는 카트 제조
&lt;제 외&gt;
·환자용 차량 제조(359200)
·운동용 썰매, 스케이트 제조(369302)</t>
        </is>
      </c>
      <c r="G577" s="90" t="n">
        <v>90.5</v>
      </c>
      <c r="H577" s="90" t="n">
        <v>0</v>
      </c>
      <c r="I577" s="90" t="n">
        <v>13</v>
      </c>
    </row>
    <row r="578" ht="17.25" customHeight="1" s="66">
      <c r="A578" s="65" t="inlineStr">
        <is>
          <t>361001</t>
        </is>
      </c>
      <c r="B578" s="68" t="inlineStr">
        <is>
          <t>제조업</t>
        </is>
      </c>
      <c r="C578" s="68" t="inlineStr">
        <is>
          <t>가구 제조업</t>
        </is>
      </c>
      <c r="D578" s="68" t="inlineStr">
        <is>
          <t>기타 가구 제조업</t>
        </is>
      </c>
      <c r="E578" s="68" t="inlineStr">
        <is>
          <t>금속 가구 제조업</t>
        </is>
      </c>
      <c r="F578" s="68" t="inlineStr">
        <is>
          <t>◦주방용 및 목욕탕용, 실내용 또는 실외용 등 금속 가구, 금속 캐비닛 및 유사 장치물을 제조하는 산업활동을 말한다.
&lt;예 시&gt;
·금속 가구 제조
·금속 캐비닛 제조
·금속제 침대 제조
·내장 침대용 금속제 프레임(틀) 제조
&lt;제 외&gt;
·가구용 철물 제조(289302)
·가구 이외의 사무용 금속제품 제조(289915)
·금속 틀을 가진 내장가구 제조(361006)</t>
        </is>
      </c>
      <c r="G578" s="90" t="n">
        <v>91.90000000000001</v>
      </c>
      <c r="H578" s="90" t="n">
        <v>0</v>
      </c>
      <c r="I578" s="90" t="n">
        <v>7.7</v>
      </c>
    </row>
    <row r="579" ht="17.25" customHeight="1" s="66">
      <c r="A579" s="65" t="inlineStr">
        <is>
          <t>361002</t>
        </is>
      </c>
      <c r="B579" s="68" t="inlineStr">
        <is>
          <t>제조업</t>
        </is>
      </c>
      <c r="C579" s="68" t="inlineStr">
        <is>
          <t>가구 제조업</t>
        </is>
      </c>
      <c r="D579" s="68" t="inlineStr">
        <is>
          <t>목재 가구 제조업</t>
        </is>
      </c>
      <c r="E579" s="68" t="inlineStr">
        <is>
          <t>기타 목재 가구 제조업</t>
        </is>
      </c>
      <c r="F579" s="68" t="inlineStr">
        <is>
          <t>◦기타 용도의 목재 가구, 캐비닛 및 관련 장치물을 제조하는 산업활동을 말한다. 장식용 패각 또는 옥돌 등 장식용 재료를 세공하여 장식하거나 옻칠 등을 하여 각종 나전칠기 가구를 제조하는 산업활동도 포함한다.
&lt;예 시&gt;
·가구 제조(목제)
·등 가구 제조
·일반 목제 가구 제조
·목제 침대 제조
·내장 침대용 목제 프레임(틀) 제조
·나전칠기 가구 제조
&lt;제 외&gt;
·목제 틀을 갖는 내장 가구 제조(361005,361006)
·주방용 또는 음식점용 목재 가구 제조(361007)
·보석함 등 가구의 성격을 갖지 않는 장식용 나전칠기 제품 제조(202902)</t>
        </is>
      </c>
      <c r="G579" s="90" t="n">
        <v>90.3</v>
      </c>
      <c r="H579" s="90" t="n">
        <v>0</v>
      </c>
      <c r="I579" s="90" t="n">
        <v>8.5</v>
      </c>
    </row>
    <row r="580" ht="17.25" customHeight="1" s="66">
      <c r="A580" s="65" t="inlineStr">
        <is>
          <t>361003</t>
        </is>
      </c>
      <c r="B580" s="68" t="inlineStr">
        <is>
          <t>제조업</t>
        </is>
      </c>
      <c r="C580" s="68" t="inlineStr">
        <is>
          <t>가구 제조업</t>
        </is>
      </c>
      <c r="D580" s="68" t="inlineStr">
        <is>
          <t>기타 가구 제조업</t>
        </is>
      </c>
      <c r="E580" s="68" t="inlineStr">
        <is>
          <t>그 외 기타 가구 제조업</t>
        </is>
      </c>
      <c r="F580" s="68" t="inlineStr">
        <is>
          <t>◦금속, 목제품을 제외한 기타 재료로 각종 가구 및 장치물을 제조하는 산업활동을 말한다.
&lt;예 시&gt;
·플라스틱 가구 제조
·플라스틱제 침대 제조
·내장 침대용 플라스틱제 프레임(틀) 제조
·강화플라스틱제가구, 아크릴가구</t>
        </is>
      </c>
      <c r="G580" s="90" t="n">
        <v>92.8</v>
      </c>
      <c r="H580" s="90" t="n">
        <v>0</v>
      </c>
      <c r="I580" s="90" t="n">
        <v>10.6</v>
      </c>
    </row>
    <row r="581" ht="17.25" customHeight="1" s="66">
      <c r="A581" s="65" t="inlineStr">
        <is>
          <t>361005</t>
        </is>
      </c>
      <c r="B581" s="68" t="inlineStr">
        <is>
          <t>제조업</t>
        </is>
      </c>
      <c r="C581" s="68" t="inlineStr">
        <is>
          <t>가구 제조업</t>
        </is>
      </c>
      <c r="D581" s="68" t="inlineStr">
        <is>
          <t>침대 및 내장 가구 제조업</t>
        </is>
      </c>
      <c r="E581" s="68" t="inlineStr">
        <is>
          <t>매트리스 및 침대 제조업</t>
        </is>
      </c>
      <c r="F581" s="68" t="inlineStr">
        <is>
          <t>◦금속 스프링을 결합하거나 기타 충전물을 내장한 매트리스, 매트리스 지지용 스프링 조립제품 및 매트리스를 결합한 침대를 제조하는 산업활동을 말한다.
&lt;예 시&gt;
·스프링 내장 매트리스 제조
·셀룰러 고무제 매트리스 제조
·셀룰러 플라스틱제 매트리스 제조
·매트리스 내장 침대 제조
&lt;제 외&gt;
·목재 및 철재 침대와 내장 침대용 프레임(틀)만을 제조하는 경우에는 그 재료에 따라 해당 가구 제조업으로 각각 분류
·매트리스용으로 조립되지 않은 금속 스프링 제조(289913)</t>
        </is>
      </c>
      <c r="G581" s="90" t="n">
        <v>90.3</v>
      </c>
      <c r="H581" s="90" t="n">
        <v>0</v>
      </c>
      <c r="I581" s="90" t="n">
        <v>9.800000000000001</v>
      </c>
    </row>
    <row r="582" ht="17.25" customHeight="1" s="66">
      <c r="A582" s="65" t="inlineStr">
        <is>
          <t>361006</t>
        </is>
      </c>
      <c r="B582" s="68" t="inlineStr">
        <is>
          <t>제조업</t>
        </is>
      </c>
      <c r="C582" s="68" t="inlineStr">
        <is>
          <t>가구 제조업</t>
        </is>
      </c>
      <c r="D582" s="68" t="inlineStr">
        <is>
          <t>침대 및 내장 가구 제조업</t>
        </is>
      </c>
      <c r="E582" s="68" t="inlineStr">
        <is>
          <t>소파 및 기타 내장 가구 제조업</t>
        </is>
      </c>
      <c r="F582" s="68" t="inlineStr">
        <is>
          <t>◦내장 의자 및 기타 내장 가구를 제조하는 산업활동을 말한다.
&lt;예 시&gt;
·내장 의자 제조
·소파 제조
·침대겸용 의자 제조
&lt;제 외&gt;
·자동차, 항공기, 철도 차량용 내장 의자(시트) 제조는 자동차, 항공기, 철도 차량 부품으로 분류
·매트리스 및 내장 침대 제조(361005)</t>
        </is>
      </c>
      <c r="G582" s="90" t="n">
        <v>90.3</v>
      </c>
      <c r="H582" s="90" t="n">
        <v>0</v>
      </c>
      <c r="I582" s="90" t="n">
        <v>8.6</v>
      </c>
    </row>
    <row r="583" ht="17.25" customHeight="1" s="66">
      <c r="A583" s="65" t="inlineStr">
        <is>
          <t>361007</t>
        </is>
      </c>
      <c r="B583" s="68" t="inlineStr">
        <is>
          <t>제조업</t>
        </is>
      </c>
      <c r="C583" s="68" t="inlineStr">
        <is>
          <t>가구 제조업</t>
        </is>
      </c>
      <c r="D583" s="68" t="inlineStr">
        <is>
          <t>목재 가구 제조업</t>
        </is>
      </c>
      <c r="E583" s="68" t="inlineStr">
        <is>
          <t>주방용 및 음식점용 목재 가구 제조업</t>
        </is>
      </c>
      <c r="F583" s="68" t="inlineStr">
        <is>
          <t>◦주방 또는 음식점에서 사용되는 목재 가구를 제조하는 산업활동을 말한다.
&lt;예 시&gt;
·주방 가구 제조
·싱크대 제조
·식탁 제조
·찬장 제조
&lt;제 외&gt;
·싱크대용 금속부분만을 제조하는 경우(289916)</t>
        </is>
      </c>
      <c r="G583" s="90" t="n">
        <v>90.3</v>
      </c>
      <c r="H583" s="90" t="n">
        <v>0</v>
      </c>
      <c r="I583" s="90" t="n">
        <v>5.6</v>
      </c>
    </row>
    <row r="584" ht="17.25" customHeight="1" s="66">
      <c r="A584" s="65" t="inlineStr">
        <is>
          <t>369101</t>
        </is>
      </c>
      <c r="B584" s="68" t="inlineStr">
        <is>
          <t>제조업</t>
        </is>
      </c>
      <c r="C584" s="68" t="inlineStr">
        <is>
          <t>기타 제품 제조업</t>
        </is>
      </c>
      <c r="D584" s="68" t="inlineStr">
        <is>
          <t>귀금속 및 관련제품 제조업</t>
        </is>
      </c>
      <c r="E584" s="68" t="inlineStr">
        <is>
          <t>귀금속 및 관련제품 제조업</t>
        </is>
      </c>
      <c r="F584" s="68" t="inlineStr">
        <is>
          <t>◦구입한 천연◦인조귀석, 준귀석, 진주, 금, 은 및 기타 귀금속으로 장신구 및 세공품, 식기류, 예술 또는 경기용 메달 등을 제조 또는 세공하는 산업활동을 말한다. 귀금속 여부를 불문한 법정 주화 및 기타 주화를 제조하는 활동을 포함한다.
&lt;예 시&gt;
·귀금속 장신용품 제조
·귀금속 목걸이 제조
·귀금속 메달 제조
·귀석 제품 제조(합성, 재생)
·귀금속제 주화 제조
·귀금속 및 장신구의 도금 또는 세공 
&lt;제 외&gt;
·치과용 충전재와 살균한 봉합물 제조(242309)
·연마재 제조(269902)
·장식용 메달, 상패 등의 비귀금속 제품 제조(281101)
·귀금속제의 시계 및 시계 부품 제조(333000)
·모조 장신품 제조(369501)</t>
        </is>
      </c>
      <c r="G584" s="90" t="n">
        <v>91</v>
      </c>
      <c r="H584" s="90" t="n">
        <v>0</v>
      </c>
      <c r="I584" s="90" t="n">
        <v>5.8</v>
      </c>
    </row>
    <row r="585" ht="17.25" customHeight="1" s="66">
      <c r="A585" s="65" t="inlineStr">
        <is>
          <t>369200</t>
        </is>
      </c>
      <c r="B585" s="68" t="inlineStr">
        <is>
          <t>제조업</t>
        </is>
      </c>
      <c r="C585" s="68" t="inlineStr">
        <is>
          <t>기타 제품 제조업</t>
        </is>
      </c>
      <c r="D585" s="68" t="inlineStr">
        <is>
          <t>악기 제조업</t>
        </is>
      </c>
      <c r="E585" s="68" t="inlineStr">
        <is>
          <t>기타 악기 및 전자 악기 제조업</t>
        </is>
      </c>
      <c r="F585" s="68" t="inlineStr">
        <is>
          <t>◦현악기, 각종 고유 국악기(국악용 현악기, 타악기, 관악기 등 포함) 및 기타 악기를 제조하는 산업활동을 포함한다.
&lt;예 시&gt;
·현악기 제조
·하프 제조
·바이올린 제조
·만도린 제조
·첼로 제조
·기타 제조
·국악 현악기 제조
·뮤지컬(뮤직) 박스 제조
·하모니카 제조
·관악기 제조
·리코더 제조
·트럼펫 제조
·트롬본 제조
·휘슬 제조
·목금 제조
·탬버린 제조
·북 제조
·마라카스 제조
·타악기 제조
·캐스터네츠 제조
·심벌즈 제조
·뮤지컬 소 제조
·아코디언 제조
&lt;제 외&gt;
·전자식 현악기 제조(369202)</t>
        </is>
      </c>
      <c r="G585" s="90" t="n">
        <v>90.2</v>
      </c>
      <c r="H585" s="90" t="n">
        <v>0</v>
      </c>
      <c r="I585" s="90" t="n">
        <v>5</v>
      </c>
    </row>
    <row r="586" ht="17.25" customHeight="1" s="66">
      <c r="A586" s="65" t="inlineStr">
        <is>
          <t>369201</t>
        </is>
      </c>
      <c r="B586" s="68" t="inlineStr">
        <is>
          <t>제조업</t>
        </is>
      </c>
      <c r="C586" s="68" t="inlineStr">
        <is>
          <t>기타 제품 제조업</t>
        </is>
      </c>
      <c r="D586" s="68" t="inlineStr">
        <is>
          <t>악기 제조업</t>
        </is>
      </c>
      <c r="E586" s="68" t="inlineStr">
        <is>
          <t>건반 악기 제조업</t>
        </is>
      </c>
      <c r="F586" s="68" t="inlineStr">
        <is>
          <t>◦피아노 등 건반 현악기를 제조하는 산업활동을 말한다. 리드 오르간, 파이프 오르간을 제조하는 산업활동도 포함한다.
&lt;예 시&gt;
·피아노, 하프시코드, 스피넷, 하모늄 제조
·오르간, 파이프 오르간 제조
&lt;제 외&gt;
·전자식 건반 현악기 제조(369202)
·하모니카 제조(369200)</t>
        </is>
      </c>
      <c r="G586" s="90" t="n">
        <v>90.2</v>
      </c>
      <c r="H586" s="90" t="n">
        <v>0</v>
      </c>
      <c r="I586" s="90" t="n">
        <v>10.3</v>
      </c>
    </row>
    <row r="587" ht="17.25" customHeight="1" s="66">
      <c r="A587" s="65" t="inlineStr">
        <is>
          <t>369202</t>
        </is>
      </c>
      <c r="B587" s="68" t="inlineStr">
        <is>
          <t>제조업</t>
        </is>
      </c>
      <c r="C587" s="68" t="inlineStr">
        <is>
          <t>기타 제품 제조업</t>
        </is>
      </c>
      <c r="D587" s="68" t="inlineStr">
        <is>
          <t>악기 제조업</t>
        </is>
      </c>
      <c r="E587" s="68" t="inlineStr">
        <is>
          <t>기타 악기 및 전자 악기 제조업</t>
        </is>
      </c>
      <c r="F587" s="68" t="inlineStr">
        <is>
          <t>◦소리가 전기․전자식으로 발생 및 증폭하도록 설계된 전자 건반 악기, 전자 현악기 등을 제조하는 산업활동을 말한다.
&lt;예 시&gt;
·전자 악기 제조
·전자 건반 악기 제조
·전자 현악기 제조
·전자 기타 제조</t>
        </is>
      </c>
      <c r="G587" s="90" t="n">
        <v>90.2</v>
      </c>
      <c r="H587" s="90" t="n">
        <v>0</v>
      </c>
      <c r="I587" s="90" t="n">
        <v>10.3</v>
      </c>
    </row>
    <row r="588" ht="17.25" customHeight="1" s="66">
      <c r="A588" s="65" t="inlineStr">
        <is>
          <t>369301</t>
        </is>
      </c>
      <c r="B588" s="68" t="inlineStr">
        <is>
          <t>제조업</t>
        </is>
      </c>
      <c r="C588" s="68" t="inlineStr">
        <is>
          <t>기타 제품 제조업</t>
        </is>
      </c>
      <c r="D588" s="68" t="inlineStr">
        <is>
          <t>운동 및 경기용구 제조업</t>
        </is>
      </c>
      <c r="E588" s="68" t="inlineStr">
        <is>
          <t>체조, 육상 및 체력 단련용 장비 제조업</t>
        </is>
      </c>
      <c r="F588" s="68" t="inlineStr">
        <is>
          <t>◦체조용 장비, 트랙 및 육상경기 용구, 복싱용 링, 배구 및 농구장 설치장비, 체력 단련용 장비 및 기계장치 등과 같은 장비를 제조하는 산업활동을 말한다.
&lt;예 시&gt;
·헬스 장비 제조
·체조용품 제조
·체조용 링 제조
·클라이밍 로프 제조
·바벨 제조
·스프링 보드 제조
&lt;제 외&gt;
·어린이 놀이터용 장비 제조(369305)
·복싱 글러브 및 보호물 제조(369302)</t>
        </is>
      </c>
      <c r="G588" s="90" t="n">
        <v>91</v>
      </c>
      <c r="H588" s="90" t="n">
        <v>0</v>
      </c>
      <c r="I588" s="90" t="n">
        <v>10.4</v>
      </c>
    </row>
    <row r="589" ht="17.25" customHeight="1" s="66">
      <c r="A589" s="65" t="inlineStr">
        <is>
          <t>369302</t>
        </is>
      </c>
      <c r="B589" s="68" t="inlineStr">
        <is>
          <t>제조업</t>
        </is>
      </c>
      <c r="C589" s="68" t="inlineStr">
        <is>
          <t>기타 제품 제조업</t>
        </is>
      </c>
      <c r="D589" s="68" t="inlineStr">
        <is>
          <t>운동 및 경기용구 제조업</t>
        </is>
      </c>
      <c r="E589" s="68" t="inlineStr">
        <is>
          <t>기타 운동 및 경기용구 제조업</t>
        </is>
      </c>
      <c r="F589" s="68" t="inlineStr">
        <is>
          <t>◦코트 및 필드 게임용구, 등산장비, 동계 경기용 장비, 수중 경기용 장비, 펜싱용구 등을 제조하는 산업활동을 말한다.
&lt;예 시&gt;
·펜싱용구 제조
·라켓 제조
·탁구용 기구 제조
·공 제조(각종 경기용)
·장갑류 제조(경기용)
·설상 스키 제조
·양궁장비 제조
·배트 및 스틱류 제조
·골프 글러브 제조
·골프장비 제조
·운동 경기용 보호 모자 제조
·볼링장비(볼 등) 제조
·운동용 썰매, 스케이트 제조
&lt;제 외&gt;
·체조, 육상 및 체력 단련용 장비 제조(369301)
·낚시 및 수렵용구 제조(369306)
·당구용 장비(볼 포함) 제조(369405)
·볼링장 핀 자동 고정기 제조(292907)
·운송용 썰매 제조(359202)</t>
        </is>
      </c>
      <c r="G589" s="90" t="n">
        <v>89.09999999999999</v>
      </c>
      <c r="H589" s="90" t="n">
        <v>0</v>
      </c>
      <c r="I589" s="90" t="n">
        <v>10.1</v>
      </c>
    </row>
    <row r="590" ht="17.25" customHeight="1" s="66">
      <c r="A590" s="65" t="inlineStr">
        <is>
          <t>369305</t>
        </is>
      </c>
      <c r="B590" s="68" t="inlineStr">
        <is>
          <t>제조업</t>
        </is>
      </c>
      <c r="C590" s="68" t="inlineStr">
        <is>
          <t>기타 제품 제조업</t>
        </is>
      </c>
      <c r="D590" s="68" t="inlineStr">
        <is>
          <t>운동 및 경기용구 제조업</t>
        </is>
      </c>
      <c r="E590" s="68" t="inlineStr">
        <is>
          <t>놀이터용 장비 제조업</t>
        </is>
      </c>
      <c r="F590" s="68" t="inlineStr">
        <is>
          <t>◦놀이터에 설치되는 놀이용 장비를 제조하는 산업활동으로서 특정 산업에 분류되지 않은 제품을 제조하는 산업활동을 말한다.
&lt;예 시&gt;
·시소 제조
·미끄럼틀 제조
·회전 그네 제조
·놀이대 제조
&lt;제 외&gt;
·다른 산업에서 분류되는 놀이터용 제품은 제외</t>
        </is>
      </c>
      <c r="G590" s="90" t="n">
        <v>91</v>
      </c>
      <c r="H590" s="90" t="n">
        <v>0</v>
      </c>
      <c r="I590" s="90" t="n">
        <v>12.8</v>
      </c>
    </row>
    <row r="591" ht="17.25" customHeight="1" s="66">
      <c r="A591" s="65" t="inlineStr">
        <is>
          <t>369306</t>
        </is>
      </c>
      <c r="B591" s="68" t="inlineStr">
        <is>
          <t>제조업</t>
        </is>
      </c>
      <c r="C591" s="68" t="inlineStr">
        <is>
          <t>기타 제품 제조업</t>
        </is>
      </c>
      <c r="D591" s="68" t="inlineStr">
        <is>
          <t>운동 및 경기용구 제조업</t>
        </is>
      </c>
      <c r="E591" s="68" t="inlineStr">
        <is>
          <t>낚시 및 수렵용구 제조업</t>
        </is>
      </c>
      <c r="F591" s="68" t="inlineStr">
        <is>
          <t>◦낚시 및 수렵용 장비를 제조하는 산업활동을 말한다.
&lt;예 시&gt;
·낚시 장비 제조
·조류 유인용구 제조
·인조 미끼 제조                  
·수렵용구 제조
·낚시용 망 제조
·포충망 제조
&lt;제 외&gt;
·양궁장비 제조(369302)
·어망 제조(172300)
·수렵 및 경기용 총포탄 제조(292700)
·골프장비(공, 글러브 포함)제조(369302)</t>
        </is>
      </c>
      <c r="G591" s="90" t="n">
        <v>91</v>
      </c>
      <c r="H591" s="90" t="n">
        <v>0</v>
      </c>
      <c r="I591" s="90" t="n">
        <v>6.5</v>
      </c>
    </row>
    <row r="592" ht="17.25" customHeight="1" s="66">
      <c r="A592" s="65" t="inlineStr">
        <is>
          <t>369401</t>
        </is>
      </c>
      <c r="B592" s="68" t="inlineStr">
        <is>
          <t>제조업</t>
        </is>
      </c>
      <c r="C592" s="68" t="inlineStr">
        <is>
          <t>기타 제품 제조업</t>
        </is>
      </c>
      <c r="D592" s="68" t="inlineStr">
        <is>
          <t>인형, 장난감 및 오락용품 제조업</t>
        </is>
      </c>
      <c r="E592" s="68" t="inlineStr">
        <is>
          <t>인형 및 장난감 제조업</t>
        </is>
      </c>
      <c r="F592" s="68" t="inlineStr">
        <is>
          <t>◦사람◦동물 및 가상 형태를 형상화한 인형을 제조하는 산업활동을 말한다. 이러한 인형에는 소리장치◦동작장치 등의 기계적 장치가 부착될 수도 있다.
&lt;예 시&gt;
·봉제 인형 제조
·인형 액세서리 제조
·사람 모형 인형 제조
·인형극용 꼭두각시 제조
·인형용 의류와 부속품, 신발과 모자 제조
·고무제인형
&lt;제 외&gt;
*완구, 승용 및 비승용 등의 장난감 제조(→369402)</t>
        </is>
      </c>
      <c r="G592" s="90" t="n">
        <v>93.2</v>
      </c>
      <c r="H592" s="90" t="n">
        <v>0</v>
      </c>
      <c r="I592" s="90" t="n">
        <v>15.5</v>
      </c>
    </row>
    <row r="593" ht="17.25" customHeight="1" s="66">
      <c r="A593" s="65" t="inlineStr">
        <is>
          <t>369402</t>
        </is>
      </c>
      <c r="B593" s="68" t="inlineStr">
        <is>
          <t>제조업</t>
        </is>
      </c>
      <c r="C593" s="68" t="inlineStr">
        <is>
          <t>기타 제품 제조업</t>
        </is>
      </c>
      <c r="D593" s="68" t="inlineStr">
        <is>
          <t>인형, 장난감 및 오락용품 제조업</t>
        </is>
      </c>
      <c r="E593" s="68" t="inlineStr">
        <is>
          <t>인형 및 장난감 제조업</t>
        </is>
      </c>
      <c r="F593" s="68" t="inlineStr">
        <is>
          <t>◦완구, 승용 및 비승용 등의 장난감을 제조하는 산업활동을 말한다. 이러한 장난감에는 소리장치◦동작장치 등의 기계적 장치가 부착될 수도 있다.
&lt;예 시&gt;
·바퀴 달린 완구 제조
·완구용 목제품 제조
·조립식 완구 제조
·조립용 키트 제조
·플라스틱 조립용 모델 키트 제조
·장난감 악기 제조
·동력식 장난감 제조
·전기식 완구 제조(기차, 궤도, 신호기, 부속품 등)
·취미, 오락용 무인 항공기(드론) 제조
·고무제장난감
&lt;제 외&gt;
·어린이용 이륜자전거 제조(359200)
·스케이트를 포함한 아동용 스키 및 썰매 제조(369302)
*사람◦동물 및 가상 형태를 형상화한 인형 제조(→369401)</t>
        </is>
      </c>
      <c r="G593" s="90" t="n">
        <v>91</v>
      </c>
      <c r="H593" s="90" t="n">
        <v>0</v>
      </c>
      <c r="I593" s="90" t="n">
        <v>12.2</v>
      </c>
    </row>
    <row r="594" ht="17.25" customHeight="1" s="66">
      <c r="A594" s="65" t="inlineStr">
        <is>
          <t>369404</t>
        </is>
      </c>
      <c r="B594" s="68" t="inlineStr">
        <is>
          <t>제조업</t>
        </is>
      </c>
      <c r="C594" s="68" t="inlineStr">
        <is>
          <t>기타 제품 제조업</t>
        </is>
      </c>
      <c r="D594" s="68" t="inlineStr">
        <is>
          <t>인형, 장난감 및 오락용품 제조업</t>
        </is>
      </c>
      <c r="E594" s="68" t="inlineStr">
        <is>
          <t>영상게임기 제조업</t>
        </is>
      </c>
      <c r="F594" s="68" t="inlineStr">
        <is>
          <t>◦영상 수상기를 갖춘 게임장비 또는 게임장에서 즐기는 게임기를 제조하는 산업활동을 말한다.
&lt;예 시&gt;
·아케이드 게임기 제조
·전자오락실 게임장비 제조
·휴대용 오락 게임기 제조</t>
        </is>
      </c>
      <c r="G594" s="90" t="n">
        <v>91</v>
      </c>
      <c r="H594" s="90" t="n">
        <v>0</v>
      </c>
      <c r="I594" s="90" t="n">
        <v>13.1</v>
      </c>
    </row>
    <row r="595" ht="17.25" customHeight="1" s="66">
      <c r="A595" s="65" t="inlineStr">
        <is>
          <t>369405</t>
        </is>
      </c>
      <c r="B595" s="68" t="inlineStr">
        <is>
          <t>제조업</t>
        </is>
      </c>
      <c r="C595" s="68" t="inlineStr">
        <is>
          <t>기타 제품 제조업</t>
        </is>
      </c>
      <c r="D595" s="68" t="inlineStr">
        <is>
          <t>인형, 장난감 및 오락용품 제조업</t>
        </is>
      </c>
      <c r="E595" s="68" t="inlineStr">
        <is>
          <t>기타 오락용품 제조업</t>
        </is>
      </c>
      <c r="F595" s="68" t="inlineStr">
        <is>
          <t>◦스포츠 오락용 기계, 당구 등 오락용 테이블 및 장비 등을 제조하는 산업활동을 말한다.
&lt;예 시&gt;
·바둑 및 장기 제조
·체스 제조
·스포츠 오락용 기계 제조
·오락용 테이블 및 장비 제조
·실내 게임용 기계 및 기구 제조
·당구용구(볼 포함) 제조
·테이블 게임용 기계 및 기구 제조
&lt;제 외&gt;
·축제, 카니발 또는 크리스마스 장식용품(장식용 조명 세트 등 전기용품 제외) 제조(369908)
*놀이용 카드, 도박게임장비 등 유희용구 제조(→369409)</t>
        </is>
      </c>
      <c r="G595" s="90" t="n">
        <v>91</v>
      </c>
      <c r="H595" s="90" t="n">
        <v>0</v>
      </c>
      <c r="I595" s="90" t="n">
        <v>13.1</v>
      </c>
    </row>
    <row r="596" ht="17.25" customHeight="1" s="66">
      <c r="A596" s="65" t="inlineStr">
        <is>
          <t>369409</t>
        </is>
      </c>
      <c r="B596" s="68" t="inlineStr">
        <is>
          <t>제조업</t>
        </is>
      </c>
      <c r="C596" s="68" t="inlineStr">
        <is>
          <t>기타 제품 제조업</t>
        </is>
      </c>
      <c r="D596" s="68" t="inlineStr">
        <is>
          <t>인형, 장난감 및 오락용품 제조업</t>
        </is>
      </c>
      <c r="E596" s="68" t="inlineStr">
        <is>
          <t>기타 오락용품 제조업</t>
        </is>
      </c>
      <c r="F596" s="68" t="inlineStr">
        <is>
          <t>◦놀이용 카드, 도박게임장비 등 유희용구 
&lt;예 시&gt;
·화투, 트럼프 등의 유희용 카드
·성인오락실빠징코, 카지노게임용테이블 등</t>
        </is>
      </c>
      <c r="G596" s="90" t="n">
        <v>92</v>
      </c>
      <c r="H596" s="90" t="n">
        <v>0</v>
      </c>
      <c r="I596" s="90" t="n">
        <v>13.1</v>
      </c>
    </row>
    <row r="597" ht="17.25" customHeight="1" s="66">
      <c r="A597" s="65" t="inlineStr">
        <is>
          <t>369501</t>
        </is>
      </c>
      <c r="B597" s="68" t="inlineStr">
        <is>
          <t>제조업</t>
        </is>
      </c>
      <c r="C597" s="68" t="inlineStr">
        <is>
          <t>기타 제품 제조업</t>
        </is>
      </c>
      <c r="D597" s="68" t="inlineStr">
        <is>
          <t>모조 귀금속 및 모조 장신용품 제조업</t>
        </is>
      </c>
      <c r="E597" s="68" t="inlineStr">
        <is>
          <t>모조 귀금속 및 모조 장신용품 제조업</t>
        </is>
      </c>
      <c r="F597" s="68" t="inlineStr">
        <is>
          <t>◦귀금속, 귀석 이외의 각종 재료로 모조 장신용품을 제조하는 산업활동을 말한다.
&lt;예 시&gt;
·모조 목걸이, 팔찌 제조
·모조 브로치 제조</t>
        </is>
      </c>
      <c r="G597" s="90" t="n">
        <v>90.40000000000001</v>
      </c>
      <c r="H597" s="90" t="n">
        <v>0</v>
      </c>
      <c r="I597" s="90" t="n">
        <v>11.7</v>
      </c>
    </row>
    <row r="598" ht="17.25" customHeight="1" s="66">
      <c r="A598" s="65" t="inlineStr">
        <is>
          <t>369502</t>
        </is>
      </c>
      <c r="B598" s="68" t="inlineStr">
        <is>
          <t>제조업</t>
        </is>
      </c>
      <c r="C598" s="68" t="inlineStr">
        <is>
          <t>기타 제품 제조업</t>
        </is>
      </c>
      <c r="D598" s="68" t="inlineStr">
        <is>
          <t>가발, 장식용품 및 전시용 모형 제조업</t>
        </is>
      </c>
      <c r="E598" s="68" t="inlineStr">
        <is>
          <t>가발 및 유사 제품 제조업</t>
        </is>
      </c>
      <c r="F598" s="68" t="inlineStr">
        <is>
          <t>◦모발, 동물 털 및 기타 섬유를 가공하여 가발, 가눈썹, 가수염 및 유사 제품을 제조하는 산업활동을 말한다.
&lt;예 시&gt; 
·가발 제조
·가수염 제조
·가눈썹 제조
&lt;제 외&gt;
·우모 가공 또는 장식 제품 제조(369505)</t>
        </is>
      </c>
      <c r="G598" s="90" t="n">
        <v>90.90000000000001</v>
      </c>
      <c r="H598" s="90" t="n">
        <v>0</v>
      </c>
      <c r="I598" s="90" t="n">
        <v>13.4</v>
      </c>
    </row>
    <row r="599" ht="17.25" customHeight="1" s="66">
      <c r="A599" s="65" t="inlineStr">
        <is>
          <t>369503</t>
        </is>
      </c>
      <c r="B599" s="68" t="inlineStr">
        <is>
          <t>제조업</t>
        </is>
      </c>
      <c r="C599" s="68" t="inlineStr">
        <is>
          <t>기타 제품 제조업</t>
        </is>
      </c>
      <c r="D599" s="68" t="inlineStr">
        <is>
          <t>간판 및 광고물 제조업</t>
        </is>
      </c>
      <c r="E599" s="68" t="inlineStr">
        <is>
          <t>간판 및 광고물 제조업</t>
        </is>
      </c>
      <c r="F599" s="68" t="inlineStr">
        <is>
          <t>◦고정 광원을 갖지 않는 간판 및 광고물을 제조하는 산업활동을 말한다. 간판 및 광고물에는 형광등이나 전구가 결합될 수 있다.
&lt;예 시&gt;
·간판 제조
·광고물 제조
&lt;제 외&gt;
·네온 광고판(315002)이나 LED 광고판 등 고정 광원을 갖는 광고용 조명장치 제조(315002)
·금속제 간판, 명패, 표시판 및 관련 금속제품 제조(281101,289917)
·광고용 인쇄물 인쇄(222101~222105)
·마네킹 및 활동적인 진열물 제조(369908)</t>
        </is>
      </c>
      <c r="G599" s="90" t="n">
        <v>86.3</v>
      </c>
      <c r="H599" s="90" t="n">
        <v>0</v>
      </c>
      <c r="I599" s="90" t="n">
        <v>11.7</v>
      </c>
    </row>
    <row r="600" ht="17.25" customHeight="1" s="66">
      <c r="A600" s="65" t="inlineStr">
        <is>
          <t>369504</t>
        </is>
      </c>
      <c r="B600" s="68" t="inlineStr">
        <is>
          <t>제조업</t>
        </is>
      </c>
      <c r="C600" s="68" t="inlineStr">
        <is>
          <t>기타 제품 제조업</t>
        </is>
      </c>
      <c r="D600" s="68" t="inlineStr">
        <is>
          <t>가발, 장식용품 및 전시용 모형 제조업</t>
        </is>
      </c>
      <c r="E600" s="68" t="inlineStr">
        <is>
          <t>표구 처리업</t>
        </is>
      </c>
      <c r="F600" s="68" t="inlineStr">
        <is>
          <t>◦수수료에 의하여 표구하는 산업활동을 말한다. 예술품 이외의 표구 제품을 제조하는 경우도 포함한다.</t>
        </is>
      </c>
      <c r="G600" s="90" t="n">
        <v>87.59999999999999</v>
      </c>
      <c r="H600" s="90" t="n">
        <v>0</v>
      </c>
      <c r="I600" s="90" t="n">
        <v>5.7</v>
      </c>
    </row>
    <row r="601" ht="17.25" customHeight="1" s="66">
      <c r="A601" s="65" t="inlineStr">
        <is>
          <t>369505</t>
        </is>
      </c>
      <c r="B601" s="68" t="inlineStr">
        <is>
          <t>제조업</t>
        </is>
      </c>
      <c r="C601" s="68" t="inlineStr">
        <is>
          <t>기타 제품 제조업</t>
        </is>
      </c>
      <c r="D601" s="68" t="inlineStr">
        <is>
          <t>가발, 장식용품 및 전시용 모형 제조업</t>
        </is>
      </c>
      <c r="E601" s="68" t="inlineStr">
        <is>
          <t>전시용 모형 제조업</t>
        </is>
      </c>
      <c r="F601" s="68" t="inlineStr">
        <is>
          <t>◦교육용, 전시용 또는 기타 실물 설명용에 적합한 각종 모형을 제조하는 산업활동을 말한다. 각종 재료로 만든 조화 및 인조물, 장식용 동◦식물성(견과, 껍질, 열매, 상아, 뼈, 귀갑 등) 및 광물성 물질(호박, 해포석 등)을 가공한 조각용 재료 및 이들의 장식용 제품, 밀랍, 스테아린, 천연검, 수지 및 비경화 젤라틴 등으로 가공한 장식용 성형품 및 조각품을 제조하는 산업활동도 포함한다.
&lt;예 시&gt;
·조류 깃털(우모) 표백, 염색 등 가공 제품과 우모 가공 제품(부채, 장식품, 액세서리등)제조
·꽃, 잎, 과실 등의 모조품 제조
·장식용 천연검 제품 제조
·장식용 밀랍 제품 제조
·장식용 수지 제품 제조
·조각용 재료 가공품 제조
·상아, 뼈, 귀갑, 뿔, 산호, 자개 및 기타 동물성의 조각용 재료 가공(시트, 판, 봉 형상 또는 사각형으로 절단한 형상, 연마ㆍ그라인딩ㆍ드릴링ㆍ밀링ㆍ터닝 처리한 형상 등) 및 그 제품 제조
·해부 모형 제조
·건물 모형 제조(전시용)
·기념관용 모형 제조
·선박 축소 모형 제조(교시용)
·도시 모형 제조(전시용)
·기관차 원동기 모형 제조
·동물 박제품 제조
·기계장비 모형 제조(설명용)
&lt;제 외&gt;
·장난감 제조(369402)
·주형, 금형 및 산업용 모형 제조(292903)
·금속제 조화 및 금속 장식품 제조(281101)
·모조 장신품 제조(369501)
·표구제품 제조(369504)</t>
        </is>
      </c>
      <c r="G601" s="90" t="n">
        <v>90.40000000000001</v>
      </c>
      <c r="H601" s="90" t="n">
        <v>0</v>
      </c>
      <c r="I601" s="90" t="n">
        <v>11.3</v>
      </c>
    </row>
    <row r="602" ht="17.25" customHeight="1" s="66">
      <c r="A602" s="65" t="inlineStr">
        <is>
          <t>369902</t>
        </is>
      </c>
      <c r="B602" s="68" t="inlineStr">
        <is>
          <t>제조업</t>
        </is>
      </c>
      <c r="C602" s="68" t="inlineStr">
        <is>
          <t>기타 제품 제조업</t>
        </is>
      </c>
      <c r="D602" s="68" t="inlineStr">
        <is>
          <t>사무 및 회화용품 제조업</t>
        </is>
      </c>
      <c r="E602" s="68" t="inlineStr">
        <is>
          <t>사무 및 회화용품 제조업</t>
        </is>
      </c>
      <c r="F602" s="68" t="inlineStr">
        <is>
          <t>◦필기용 또는 회화용구, 봉인기 및 수동식 소인(스탬프) 등 사무용구를 제조하는 산업활동을 말한다.
&lt;예 시&gt;
·펜 제조
·크레용, 파스텔 제조
·필기용구 제조
·사무용품 제조
·도장 제조
·필기용 붓 제조
&lt;제 외&gt;
·회화용 물감 제조(242202)
·자 및 제도용 기구 제조(331207)
·사무용, 문구용 종이제품 제조(210901)
·지우개 제조(251902)
·연필깎기 칼 제조(289304)</t>
        </is>
      </c>
      <c r="G602" s="90" t="n">
        <v>92.2</v>
      </c>
      <c r="H602" s="90" t="n">
        <v>0</v>
      </c>
      <c r="I602" s="90" t="n">
        <v>9.300000000000001</v>
      </c>
    </row>
    <row r="603" ht="17.25" customHeight="1" s="66">
      <c r="A603" s="65" t="inlineStr">
        <is>
          <t>369903</t>
        </is>
      </c>
      <c r="B603" s="68" t="inlineStr">
        <is>
          <t>제조업</t>
        </is>
      </c>
      <c r="C603" s="68" t="inlineStr">
        <is>
          <t>기타 제품 제조업</t>
        </is>
      </c>
      <c r="D603" s="68" t="inlineStr">
        <is>
          <t>그 외 기타 분류 안된 제품 제조업</t>
        </is>
      </c>
      <c r="E603" s="68" t="inlineStr">
        <is>
          <t>비 및 솔 제조업</t>
        </is>
      </c>
      <c r="F603" s="68" t="inlineStr">
        <is>
          <t>◦동물 털, 식물 섬유 물질 및 인조 섬유, 금속 선 등을 재료로 비, 솔 및 걸레(자루용)를 제조하는 산업활동을 말한다. 여기에는 산업용 및 가정용의 솔 제조도 포함한다.
&lt;예 시&gt;
·브러시 제조
·페인트용 패드 제조
·제판용 롤러 제조
·페인트용 롤러 제조
·먼지떨이 제조
·페인트용 스퀴지 제조
·걸레(자루용) 제조
·칫솔 제조
&lt;제 외&gt;
·자루가 없는 직물제 걸레 제조(172109)</t>
        </is>
      </c>
      <c r="G603" s="90" t="n">
        <v>92.2</v>
      </c>
      <c r="H603" s="90" t="n">
        <v>0</v>
      </c>
      <c r="I603" s="90" t="n">
        <v>8.9</v>
      </c>
    </row>
    <row r="604" ht="17.25" customHeight="1" s="66">
      <c r="A604" s="65" t="inlineStr">
        <is>
          <t>369904</t>
        </is>
      </c>
      <c r="B604" s="68" t="inlineStr">
        <is>
          <t>제조업</t>
        </is>
      </c>
      <c r="C604" s="68" t="inlineStr">
        <is>
          <t>기타 제품 제조업</t>
        </is>
      </c>
      <c r="D604" s="68" t="inlineStr">
        <is>
          <t>그 외 기타 분류 안된 제품 제조업</t>
        </is>
      </c>
      <c r="E604" s="68" t="inlineStr">
        <is>
          <t>그 외 기타 달리 분류되지 않은 제품 제조업</t>
        </is>
      </c>
      <c r="F604" s="68" t="inlineStr">
        <is>
          <t>◦우산 및 지팡이
&lt;예 시&gt;
·각종 우산 및 양산, 비닐우산, 파라솔, 지팡이 및 그 부분품(등산용 지팡이와 칼 등이 복합된 다용도 지팡이 포함)</t>
        </is>
      </c>
      <c r="G604" s="90" t="n">
        <v>92.8</v>
      </c>
      <c r="H604" s="90" t="n">
        <v>0</v>
      </c>
      <c r="I604" s="90" t="n">
        <v>5.6</v>
      </c>
    </row>
    <row r="605" ht="17.25" customHeight="1" s="66">
      <c r="A605" s="65" t="inlineStr">
        <is>
          <t>369905</t>
        </is>
      </c>
      <c r="B605" s="68" t="inlineStr">
        <is>
          <t>제조업</t>
        </is>
      </c>
      <c r="C605" s="68" t="inlineStr">
        <is>
          <t>기타 제품 제조업</t>
        </is>
      </c>
      <c r="D605" s="68" t="inlineStr">
        <is>
          <t>그 외 기타 분류 안된 제품 제조업</t>
        </is>
      </c>
      <c r="E605" s="68" t="inlineStr">
        <is>
          <t>단추 및 유사 파스너 제조업</t>
        </is>
      </c>
      <c r="F605" s="68" t="inlineStr">
        <is>
          <t>◦각종 재료의 단추, 커프스 단추 및 기타 유사 파스너를 제조하는 산업활동을 말한다.
&lt;예 시&gt;
·똑딱 단추(프레스 파스너, 스냅 파스너) 제조
·단추 제조
·커프링크(커프스 단추) 제조
·의류용 장식 못 제조
·고무제 단추
·플라스틱제 단추
&lt;제 외&gt;           
·산업용 금속제 파스너 제조(289910)
·귀금속제 단추 제조(369101)</t>
        </is>
      </c>
      <c r="G605" s="90" t="n">
        <v>92</v>
      </c>
      <c r="H605" s="90" t="n">
        <v>0</v>
      </c>
      <c r="I605" s="90" t="n">
        <v>7.3</v>
      </c>
    </row>
    <row r="606" ht="17.25" customHeight="1" s="66">
      <c r="A606" s="65" t="inlineStr">
        <is>
          <t>369906</t>
        </is>
      </c>
      <c r="B606" s="68" t="inlineStr">
        <is>
          <t>제조업</t>
        </is>
      </c>
      <c r="C606" s="68" t="inlineStr">
        <is>
          <t>기타 제품 제조업</t>
        </is>
      </c>
      <c r="D606" s="68" t="inlineStr">
        <is>
          <t>그 외 기타 분류 안된 제품 제조업</t>
        </is>
      </c>
      <c r="E606" s="68" t="inlineStr">
        <is>
          <t>라이터, 연소물 및 흡연용품 제조업</t>
        </is>
      </c>
      <c r="F606" s="68" t="inlineStr">
        <is>
          <t>◦각종 라이터, 라이터 돌 및 기타 유사 발화성 물질, 양초, 각종 재료제의 담배 파이프 또는 담뱃대 등을 제조하는 산업활동을 말한다.
&lt;예 시&gt;
·착화탄 제조
·담배 필터 제조
·가정용 고체 또는 반고체상의 착화 연료 및 합성 연료 제조
·연료용 목재, 플라스틱 펠릿 성형제품 제조
·양초 제조
&lt;제 외&gt;
·라이터용 심지 제조(172902)
·성냥, 화약 및 각종 불꽃제품 제조(242906,369907)</t>
        </is>
      </c>
      <c r="G606" s="90" t="n">
        <v>91.2</v>
      </c>
      <c r="H606" s="90" t="n">
        <v>0</v>
      </c>
      <c r="I606" s="90" t="n">
        <v>11.8</v>
      </c>
    </row>
    <row r="607" ht="17.25" customHeight="1" s="66">
      <c r="A607" s="65" t="inlineStr">
        <is>
          <t>369907</t>
        </is>
      </c>
      <c r="B607" s="68" t="inlineStr">
        <is>
          <t>제조업</t>
        </is>
      </c>
      <c r="C607" s="68" t="inlineStr">
        <is>
          <t>화학 물질 및 화학제품 제조업: 의약품 제외</t>
        </is>
      </c>
      <c r="D607" s="68" t="inlineStr">
        <is>
          <t>그 외 기타 화학제품 제조업</t>
        </is>
      </c>
      <c r="E607" s="68" t="inlineStr">
        <is>
          <t>화약 및 불꽃제품 제조업</t>
        </is>
      </c>
      <c r="F607" s="68" t="inlineStr">
        <is>
          <t>◦성냥</t>
        </is>
      </c>
      <c r="G607" s="90" t="n">
        <v>91.2</v>
      </c>
      <c r="H607" s="90" t="n">
        <v>0</v>
      </c>
      <c r="I607" s="90" t="n">
        <v>12.4</v>
      </c>
    </row>
    <row r="608" ht="17.25" customHeight="1" s="66">
      <c r="A608" s="65" t="inlineStr">
        <is>
          <t>369908</t>
        </is>
      </c>
      <c r="B608" s="68" t="inlineStr">
        <is>
          <t>제조업</t>
        </is>
      </c>
      <c r="C608" s="68" t="inlineStr">
        <is>
          <t>기타 제품 제조업</t>
        </is>
      </c>
      <c r="D608" s="68" t="inlineStr">
        <is>
          <t>그 외 기타 분류 안된 제품 제조업</t>
        </is>
      </c>
      <c r="E608" s="68" t="inlineStr">
        <is>
          <t>그 외 기타 달리 분류되지 않은 제품 제조업</t>
        </is>
      </c>
      <c r="F608" s="68" t="inlineStr">
        <is>
          <t>◦회전목마 및 기타 흥행장용품, 소도구 및 화장용품, 마네킹 및 활동적인 진열물, 회전 낙하장치(팔랑개비 등), 머리빗 및 머리핀, 리놀륨(linoleum) 등 유사 경표면 마루덮개 및 그 부분품 , 다른 산업에서 분류되지 않은 개인 안전 보호장비와 그 외 달리 분류되지 않은 기타 제품을 제조하는 산업활동을 말한다.
&lt;예 시&gt;
·흥행장용품 제조
·유희장용품 제조
·빗, 핀(헤어 슬라이드, hair slide) 제조
·수동식 체 및 어레미 제조
·마네킹 인형 제조       
·컬 핀(curling pins), 컬 크립(curling clips) 등 미용 도구 제조
·젤라틴제 이쑤시개 제조                   
·회전 낙하장치(팔랑개비 등) 제조
·화장용 분첩, 패드 및 분무기 제조
·축제, 카니발, 크리스마스 장식용품(조명 세트 등 장식용 전기용품 제외) 제조
·가정용진공용기
·보온병
·보온도시락
&lt;제 외&gt;
·귀금속제 머리 핀 제조(369101)
·크리스마스 장식용 조명세트 제조(315002)
*우산 및 지팡이(→369904)</t>
        </is>
      </c>
      <c r="G608" s="90" t="n">
        <v>91.2</v>
      </c>
      <c r="H608" s="90" t="n">
        <v>0</v>
      </c>
      <c r="I608" s="90" t="n">
        <v>9.199999999999999</v>
      </c>
    </row>
    <row r="609" ht="17.25" customHeight="1" s="66">
      <c r="A609" s="65" t="inlineStr">
        <is>
          <t>371000</t>
        </is>
      </c>
      <c r="B609" s="68" t="inlineStr">
        <is>
          <t>수도, 하수 및 폐기물처리, 원료재생업</t>
        </is>
      </c>
      <c r="C609" s="68" t="inlineStr">
        <is>
          <t>폐기물 수집, 운반, 처리 및 원료 재생업</t>
        </is>
      </c>
      <c r="D609" s="68" t="inlineStr">
        <is>
          <t>금속류 해체, 선별 및 원료 재생업</t>
        </is>
      </c>
      <c r="E609" s="68" t="inlineStr">
        <is>
          <t>금속류 원료 재생업</t>
        </is>
      </c>
      <c r="F609" s="68" t="inlineStr">
        <is>
          <t>◦지정 외 폐기물, 스크랩, 기타 폐품 등에서 금속류를 분류, 분리하여 파쇄, 분쇄하거나 화학적으로 처리하여 재생용의 금속 원료 물질로 전환하는 산업활동을 말한다.
&lt;예 시&gt;
·감광성 필름, 정착액, 인화지 등에서 비정련 상태의 금속을 추출
·폐기물 수집, 금속류 분류 및 분리, 파쇄, 분쇄 과정을 거쳐 금속 원료 물질 추출
&lt;제 외&gt;
·금속 재생재료를 처리하여 직접 1차 금속을 생산하는 경우</t>
        </is>
      </c>
      <c r="G609" s="90" t="n">
        <v>91.59999999999999</v>
      </c>
      <c r="H609" s="90" t="n">
        <v>0</v>
      </c>
      <c r="I609" s="90" t="n">
        <v>14</v>
      </c>
    </row>
    <row r="610" ht="17.25" customHeight="1" s="66">
      <c r="A610" s="65" t="inlineStr">
        <is>
          <t>371001</t>
        </is>
      </c>
      <c r="B610" s="68" t="inlineStr">
        <is>
          <t>수도, 하수 및 폐기물처리, 원료재생업</t>
        </is>
      </c>
      <c r="C610" s="68" t="inlineStr">
        <is>
          <t>폐기물 수집, 운반, 처리 및 원료 재생업</t>
        </is>
      </c>
      <c r="D610" s="68" t="inlineStr">
        <is>
          <t>금속류 해체, 선별 및 원료 재생업</t>
        </is>
      </c>
      <c r="E610" s="68" t="inlineStr">
        <is>
          <t>금속류 해체 및 선별업</t>
        </is>
      </c>
      <c r="F610" s="68" t="inlineStr">
        <is>
          <t>◦금속을 함유한 지정 외 폐기물, 스크랩, 기타 폐품 등을 원료 재생 목적으로 해체, 절단, 압축하거나, 연속적으로 투입되는 혼합 폐기물로부터 재활용이 가능한 금속 원료 물질을 단순 분리, 분류, 회수하는 산업활동을 말한다.
&lt;예 시&gt;
·금속류 폐기물(폐세탁기, 폐자전거 등) 분리, 분류를 위한 절단
·금속류 폐기물 재활용 용도의 컴퓨터, TV 및 기타 장비 해체
·재활용 용도의 금속류 폐기물 용량 감소를 위한 절단, 압축
&lt;제 외&gt;
·중고 부품 취득 및 재판매를 위한 자동차, 컴퓨터, 텔레비전 등 해체
·재생용 재료 도매업(514971)
*선박해체(→351104)
*폐차처리업(→900300)</t>
        </is>
      </c>
      <c r="G610" s="90" t="n">
        <v>91.59999999999999</v>
      </c>
      <c r="H610" s="90" t="n">
        <v>0</v>
      </c>
      <c r="I610" s="90" t="n">
        <v>14</v>
      </c>
    </row>
    <row r="611" ht="17.25" customHeight="1" s="66">
      <c r="A611" s="65" t="inlineStr">
        <is>
          <t>372000</t>
        </is>
      </c>
      <c r="B611" s="68" t="inlineStr">
        <is>
          <t>수도, 하수 및 폐기물처리, 원료재생업</t>
        </is>
      </c>
      <c r="C611" s="68" t="inlineStr">
        <is>
          <t>폐기물 수집, 운반, 처리 및 원료 재생업</t>
        </is>
      </c>
      <c r="D611" s="68" t="inlineStr">
        <is>
          <t>비금속류 해체, 선별 및 원료 재생업</t>
        </is>
      </c>
      <c r="E611" s="68" t="inlineStr">
        <is>
          <t>비금속류 원료 재생업</t>
        </is>
      </c>
      <c r="F611" s="68" t="inlineStr">
        <is>
          <t>◦지정 외 폐기물, 스크랩, 기타 폐품 등에서 비금속류를 분류, 분리하여 파쇄, 분쇄하거나 화학적으로 처리하여 재생용의 비금속 원료 물질로 전환하는 산업활동을 말한다.
&lt;예 시&gt;
·폐유리 세척, 선별, 분쇄
·폐식용유, 폐유지 화학처리를 통한 이차원료 생산
·음식료품 및 담배 폐기물, 잔재물 분쇄, 파쇄, 화학처리를 통한 이차원료 생산
·철거 폐기물 등 분류, 세척, 분쇄를 통한 이차원료 생산
·폐타이어를 이용한 고무 분말 생산
·플라스틱, 고무 폐기물을 세척, 분쇄, 용해하여 과립 형태로 가공
·플라스틱제 통, 화분, 운반대(팔레트) 제조를 위한 플라스틱 폐기물 분류 및 입상화(펠릿화)
&lt;제 외&gt;
·건설 폐기물 및 폐주물사를 이용하여 특정 제품을 만드는 경우는 해당 제품 제조업으로 분류
·재생 플라스틱 소재물질 제조(241303)
·유기질 및 부산물 비료 제조(241202)
·재생 윤활유, 재생유 및 그리스 제조(232200)
·목분 제조(201009)
·핵연료 농축 등 재처리(232101)</t>
        </is>
      </c>
      <c r="G611" s="90" t="n">
        <v>92.3</v>
      </c>
      <c r="H611" s="90" t="n">
        <v>0</v>
      </c>
      <c r="I611" s="90" t="n">
        <v>12</v>
      </c>
    </row>
    <row r="612" ht="17.25" customHeight="1" s="66">
      <c r="A612" s="65" t="inlineStr">
        <is>
          <t>372001</t>
        </is>
      </c>
      <c r="B612" s="68" t="inlineStr">
        <is>
          <t>수도, 하수 및 폐기물처리, 원료재생업</t>
        </is>
      </c>
      <c r="C612" s="68" t="inlineStr">
        <is>
          <t>폐기물 수집, 운반, 처리 및 원료 재생업</t>
        </is>
      </c>
      <c r="D612" s="68" t="inlineStr">
        <is>
          <t>비금속류 해체, 선별 및 원료 재생업</t>
        </is>
      </c>
      <c r="E612" s="68" t="inlineStr">
        <is>
          <t>비금속류 해체 및 선별업</t>
        </is>
      </c>
      <c r="F612" s="68" t="inlineStr">
        <is>
          <t>◦비금속류를 함유한 지정 외 폐기물, 기타 폐품 등을 원료 재생 목적으로 해체, 절단, 압축하거나, 연속적으로 투입되는 혼합 폐기물로부터 재활용이 가능한 비금속 원료 물질을 단순 분리, 분류, 회수하는 산업활동을 말한다.
&lt;예 시&gt;
·폐목재류 해체 및 절단
·폐지류 기계작업을 통한 압축
·혼합 폐기물에서 플라스틱류 분류, 분리, 회수
&lt;제 외&gt;
·면섬유 잔재물을 이용한 방적사 제조(171102)
·건설 폐기물 및 폐주물사를 폐기 처리하는 경우(900106)
·플라스틱류 파쇄, 용해, 압출 공정을 통한 입상화(372000)
·농·축산물 폐기물 처리장 운영(900203,900101)
·유해 폐오니 및 슬러지 처리(900105)
·폐지 이용 펄프 제조(210106)
·재생 타이어 제조(251102)</t>
        </is>
      </c>
      <c r="G612" s="90" t="n">
        <v>92.3</v>
      </c>
      <c r="H612" s="90" t="n">
        <v>0</v>
      </c>
      <c r="I612" s="90" t="n">
        <v>13.3</v>
      </c>
    </row>
    <row r="613" ht="17.25" customHeight="1" s="66">
      <c r="A613" s="65" t="inlineStr">
        <is>
          <t>372002</t>
        </is>
      </c>
      <c r="B613" s="68" t="inlineStr">
        <is>
          <t>수도, 하수 및 폐기물처리, 원료재생업</t>
        </is>
      </c>
      <c r="C613" s="68" t="inlineStr">
        <is>
          <t>환경 정화 및 복원업</t>
        </is>
      </c>
      <c r="D613" s="68" t="inlineStr">
        <is>
          <t>환경 정화 및 복원업</t>
        </is>
      </c>
      <c r="E613" s="68" t="inlineStr">
        <is>
          <t>토양 및 지하수 정화업</t>
        </is>
      </c>
      <c r="F613" s="68" t="inlineStr">
        <is>
          <t>◦기계적, 화학적 또는 생물학적 방법을 이용하여 오염된 지역의 토양 및 지하수를 정화하는 산업활동을 말한다. 정화활동은 오염 현장 또는 그 외 장소에서 수행할 수 있다.
&lt;예 시&gt;
·기름에 오염된 토양 정화
·기름에 오염된 지하수 정화
&lt;제 외&gt;
·무해성 폐기물 처리(900101)
·유해성 폐기물 처리(900105)</t>
        </is>
      </c>
      <c r="G613" s="90" t="n">
        <v>92.3</v>
      </c>
      <c r="H613" s="90" t="n">
        <v>0</v>
      </c>
      <c r="I613" s="90" t="n">
        <v>13.3</v>
      </c>
    </row>
    <row r="614" ht="17.25" customHeight="1" s="66">
      <c r="A614" s="65" t="inlineStr">
        <is>
          <t>372003</t>
        </is>
      </c>
      <c r="B614" s="68" t="inlineStr">
        <is>
          <t>수도, 하수 및 폐기물처리, 원료재생업</t>
        </is>
      </c>
      <c r="C614" s="68" t="inlineStr">
        <is>
          <t>환경 정화 및 복원업</t>
        </is>
      </c>
      <c r="D614" s="68" t="inlineStr">
        <is>
          <t>환경 정화 및 복원업</t>
        </is>
      </c>
      <c r="E614" s="68" t="inlineStr">
        <is>
          <t>기타 환경 정화 및 복원업</t>
        </is>
      </c>
      <c r="F614" s="68" t="inlineStr">
        <is>
          <t>◦오염된 건물, 강, 바다, 호수, 대기 등을 정화하여 복원하는 활동을 말한다.
&lt;예 시&gt;
·오염된 건물 정화
·오염된 하천이나 해양 정화(하천이나 해양 기름띠 제거)
·건물, 산업단지 등의 석면, 납, 도료 및 기타 독성 물질 경감 활동</t>
        </is>
      </c>
      <c r="G614" s="90" t="n">
        <v>92.3</v>
      </c>
      <c r="H614" s="90" t="n">
        <v>0</v>
      </c>
      <c r="I614" s="90" t="n">
        <v>13.3</v>
      </c>
    </row>
    <row r="615" ht="17.25" customHeight="1" s="66">
      <c r="A615" s="65" t="inlineStr">
        <is>
          <t>381000</t>
        </is>
      </c>
      <c r="B615" s="68" t="inlineStr">
        <is>
          <t>제조업</t>
        </is>
      </c>
      <c r="C615" s="68" t="inlineStr">
        <is>
          <t>기타 제품 제조업</t>
        </is>
      </c>
      <c r="D615" s="68" t="inlineStr">
        <is>
          <t>금속 열처리, 도금 및 기타 금속 가공업</t>
        </is>
      </c>
      <c r="E615" s="68" t="inlineStr">
        <is>
          <t>절삭 가공 및 유사 처리업</t>
        </is>
      </c>
      <c r="F615" s="68" t="inlineStr">
        <is>
          <t>◦소사장제
 수수료 또는 계약에 의하여 선반, 레이저 및 기타 전자응용 기계 등을 이용하여 철강 또는 비철금속 물질을 절삭, 식각, 재단 및 기타 표면 가공하여 특정 제품의 부분품, 반제품 또는 완제품 형태의 각종 철강 또는 비철금속제품을 생산하는 산업활동을 말한다.
&lt;예 시&gt; 
·금속 절삭가공 및 유사 처리
·기계부품 절삭가공품 제조
·금속용기 식각처리 가공
·금속 정밀 각인가공
·금속 조각가공
·금속제 명판 조각 가공</t>
        </is>
      </c>
      <c r="G615" s="90" t="n">
        <v>90.59999999999999</v>
      </c>
      <c r="H615" s="90" t="n">
        <v>0</v>
      </c>
      <c r="I615" s="90" t="n">
        <v>11.4</v>
      </c>
    </row>
    <row r="616" ht="17.25" customHeight="1" s="66">
      <c r="A616" s="65" t="inlineStr">
        <is>
          <t>381003</t>
        </is>
      </c>
      <c r="B616" s="68" t="inlineStr">
        <is>
          <t>제조업</t>
        </is>
      </c>
      <c r="C616" s="68" t="inlineStr">
        <is>
          <t>기타 제품 제조업</t>
        </is>
      </c>
      <c r="D616" s="68" t="inlineStr">
        <is>
          <t>금속 열처리, 도금 및 기타 금속 가공업</t>
        </is>
      </c>
      <c r="E616" s="68" t="inlineStr">
        <is>
          <t>그 외 기타 금속 가공업</t>
        </is>
      </c>
      <c r="F616" s="68" t="inlineStr">
        <is>
          <t>◦소사장제
 수수료 또는 계약에 의하여 금속 물질을 용접 및 용단하거나 연마 및 기타 금속 표면을 가공하는 산업활동을 말한다. 수수료 및 계약에 의해 각종 금속 물질을 특정한 규격으로 단순 절단, 절곡, 판금(절단, 구멍 내기, 구부리기, 모양 형성 및 용접 등) 처리하는 산업활동도 포함한다.
&lt;예 시&gt;
·판금 성형 임가공품 제조
·금속 용접처리 가공
·금속 표면 연마처리 가공
·공작기계 부품 용접가공
·철재 특정 규격품 절단가공
·금속 샤링(shearing, 전단가공) 가공</t>
        </is>
      </c>
      <c r="G616" s="90" t="n">
        <v>90.59999999999999</v>
      </c>
      <c r="H616" s="90" t="n">
        <v>0</v>
      </c>
      <c r="I616" s="90" t="n">
        <v>12.9</v>
      </c>
    </row>
    <row r="617" ht="17.25" customHeight="1" s="66">
      <c r="A617" s="65" t="inlineStr">
        <is>
          <t>381004</t>
        </is>
      </c>
      <c r="B617" s="68" t="inlineStr">
        <is>
          <t>제조업</t>
        </is>
      </c>
      <c r="C617" s="68" t="inlineStr">
        <is>
          <t>기타 제품 제조업</t>
        </is>
      </c>
      <c r="D617" s="68" t="inlineStr">
        <is>
          <t>자동차용 기타 신품 부품 제조업</t>
        </is>
      </c>
      <c r="E617" s="68" t="inlineStr">
        <is>
          <t>그 외 자동차용 신품 부품 제조업</t>
        </is>
      </c>
      <c r="F617" s="68" t="inlineStr">
        <is>
          <t>◦소사장제
 수수료 또는 계약에 의하여 기타 자동차용 신품 부품을 제조하는 산업활동을 말한다.
&lt;예 시&gt;
·에어백 조립품 제조
·자동차용 방열기 제조
·소음기 제조
·냉각장치 제조
·보기륜(로드휠) 및 그 부분품 제조
·배기관 제조
·연료탱크 제조
·차륜 제조
·안전벨트 제조
·조립된 자동차용 섀시 프레임 제조</t>
        </is>
      </c>
      <c r="G617" s="90" t="n">
        <v>90.59999999999999</v>
      </c>
      <c r="H617" s="90" t="n">
        <v>0</v>
      </c>
      <c r="I617" s="90" t="n">
        <v>7.1</v>
      </c>
    </row>
    <row r="618" ht="17.25" customHeight="1" s="66">
      <c r="A618" s="65" t="inlineStr">
        <is>
          <t>381005</t>
        </is>
      </c>
      <c r="B618" s="68" t="inlineStr">
        <is>
          <t>제조업</t>
        </is>
      </c>
      <c r="C618" s="68" t="inlineStr">
        <is>
          <t>기타 제품 제조업</t>
        </is>
      </c>
      <c r="D618" s="68" t="inlineStr">
        <is>
          <t>그 외 기타 분류 안된 제품 제조업</t>
        </is>
      </c>
      <c r="E618" s="68" t="inlineStr">
        <is>
          <t>그 외 기타 달리 분류되지 않은 제품 제조업</t>
        </is>
      </c>
      <c r="F618" s="68" t="inlineStr">
        <is>
          <t>◦소사장제
 수수료 또는 계약에 의하여 회전목마 및 기타 흥행장용품, 소도구 및 화장용품, 마네킹 및 활동적인 진열물, 회전 낙하장치(팔랑개비 등), 머리빗 및 머리핀, 리놀륨(linoleum) 등 유사 경표면 마루덮개, 우산, 양산, 지팡이 및 그 부분품, 다른 산업에서 분류되지 않은 개인 안전 보호장비와 그 외 달리 분류되지 않은 기타 제품을 제조하는 산업활동을 포함한다.
&lt;예 시&gt;
·흥행장용품 제조
·유희장용품 제조
·빗, 핀(헤어 슬라이드, hair slide) 제조
·수동식 체 및 어레미 제조
·마네킹 인형 제조
·회전 낙하장치(팔랑개비 등) 제조
·컬 핀(curling pins), 컬 크립(curling clips) 등 미용 도구 제조
·젤라틴제 이쑤시개 제조
·화장용 분첩, 패드 및 분무기 제조
·축제, 카니발, 크리스마스 장식용품(조명 세트 등 장식용 전기용품 제외) 제조
·우산, 양산, 지팡이 제조</t>
        </is>
      </c>
      <c r="G618" s="90" t="n">
        <v>90.59999999999999</v>
      </c>
      <c r="H618" s="90" t="n">
        <v>0</v>
      </c>
      <c r="I618" s="90" t="n">
        <v>9.800000000000001</v>
      </c>
    </row>
    <row r="619" ht="17.25" customHeight="1" s="66">
      <c r="A619" s="65" t="inlineStr">
        <is>
          <t>381006</t>
        </is>
      </c>
      <c r="B619" s="68" t="inlineStr">
        <is>
          <t>제조업</t>
        </is>
      </c>
      <c r="C619" s="68" t="inlineStr">
        <is>
          <t>기타 제품 제조업</t>
        </is>
      </c>
      <c r="D619" s="68" t="inlineStr">
        <is>
          <t>그 외 기타 사업 지원 서비스업</t>
        </is>
      </c>
      <c r="E619" s="68" t="inlineStr">
        <is>
          <t>포장 및 충전업</t>
        </is>
      </c>
      <c r="F619" s="68" t="inlineStr">
        <is>
          <t>◦소사장제
 수수료 또는 계약에 의하여 자동 또는 수동 포장을 불문하고 수축 포장, 투명 포장 등의 각종 포장 방법을 이용하여 음식물, 의약품, 화장품, 철물 등의 제품을 포장하는 산업활동을 말한다. 이 산업에는 에어로졸의 혼합 및 주입이 포함되며, 포장물에 상표 부착 및 날인하는 활동이 결합될 수 있다.
&lt;예 시&gt;
·상표 부착 서비스
·여행용구 조립 및 포장
·부탄 가스 주입
·의류 포장</t>
        </is>
      </c>
      <c r="G619" s="90" t="n">
        <v>90.59999999999999</v>
      </c>
      <c r="H619" s="90" t="n">
        <v>0</v>
      </c>
      <c r="I619" s="90" t="n">
        <v>10.4</v>
      </c>
    </row>
    <row r="620" ht="17.25" customHeight="1" s="66">
      <c r="A620" s="65" t="inlineStr">
        <is>
          <t>381007</t>
        </is>
      </c>
      <c r="B620" s="68" t="inlineStr">
        <is>
          <t>제조업</t>
        </is>
      </c>
      <c r="C620" s="68" t="inlineStr">
        <is>
          <t>기타 제품 제조업</t>
        </is>
      </c>
      <c r="D620" s="68" t="inlineStr">
        <is>
          <t>기타 소사장제</t>
        </is>
      </c>
      <c r="E620" s="68" t="inlineStr">
        <is>
          <t>기타 소사장제</t>
        </is>
      </c>
      <c r="F620" s="68" t="inlineStr">
        <is>
          <t>◦기타 소사장제</t>
        </is>
      </c>
      <c r="G620" s="90" t="n">
        <v>90.59999999999999</v>
      </c>
      <c r="H620" s="90" t="n">
        <v>0</v>
      </c>
      <c r="I620" s="90" t="n">
        <v>11.3</v>
      </c>
    </row>
    <row r="621" ht="17.25" customHeight="1" s="66">
      <c r="A621" s="65" t="inlineStr">
        <is>
          <t>401000</t>
        </is>
      </c>
      <c r="B621" s="68" t="inlineStr">
        <is>
          <t>전기, 가스, 증기 및 공기조절 공급업</t>
        </is>
      </c>
      <c r="C621" s="68" t="inlineStr">
        <is>
          <t>전기, 가스, 증기 및 공기 조절 공급업</t>
        </is>
      </c>
      <c r="D621" s="68" t="inlineStr">
        <is>
          <t>발전업</t>
        </is>
      </c>
      <c r="E621" s="68" t="inlineStr">
        <is>
          <t>태양력 발전업</t>
        </is>
      </c>
      <c r="F621" s="68" t="inlineStr">
        <is>
          <t>◦태양 빛 또는 광을 에너지원으로 하여 전기를 직접 생산하는 산업활동을 말한다.</t>
        </is>
      </c>
      <c r="G621" s="90" t="n">
        <v>94.59999999999999</v>
      </c>
      <c r="H621" s="90" t="n">
        <v>0</v>
      </c>
      <c r="I621" s="90" t="n">
        <v>23.8</v>
      </c>
    </row>
    <row r="622" ht="17.25" customHeight="1" s="66">
      <c r="A622" s="65" t="inlineStr">
        <is>
          <t>401001</t>
        </is>
      </c>
      <c r="B622" s="68" t="inlineStr">
        <is>
          <t>전기, 가스, 증기 및 공기조절 공급업</t>
        </is>
      </c>
      <c r="C622" s="68" t="inlineStr">
        <is>
          <t>전기, 가스, 증기 및 공기 조절 공급업</t>
        </is>
      </c>
      <c r="D622" s="68" t="inlineStr">
        <is>
          <t>발전업</t>
        </is>
      </c>
      <c r="E622" s="68" t="inlineStr">
        <is>
          <t>원자력 발전업</t>
        </is>
      </c>
      <c r="F622" s="68" t="inlineStr">
        <is>
          <t>◦원자력을 에너지원으로 하여 전기를 직접 생산하는 산업활동을 말한다.</t>
        </is>
      </c>
      <c r="G622" s="90" t="n">
        <v>94.59999999999999</v>
      </c>
      <c r="H622" s="90" t="n">
        <v>0</v>
      </c>
      <c r="I622" s="90" t="n">
        <v>20.2</v>
      </c>
    </row>
    <row r="623" ht="17.25" customHeight="1" s="66">
      <c r="A623" s="65" t="inlineStr">
        <is>
          <t>401002</t>
        </is>
      </c>
      <c r="B623" s="68" t="inlineStr">
        <is>
          <t>전기, 가스, 증기 및 공기조절 공급업</t>
        </is>
      </c>
      <c r="C623" s="68" t="inlineStr">
        <is>
          <t>전기, 가스, 증기 및 공기 조절 공급업</t>
        </is>
      </c>
      <c r="D623" s="68" t="inlineStr">
        <is>
          <t>발전업</t>
        </is>
      </c>
      <c r="E623" s="68" t="inlineStr">
        <is>
          <t>수력 발전업</t>
        </is>
      </c>
      <c r="F623" s="68" t="inlineStr">
        <is>
          <t>◦수력을 에너지원으로 하여 전기를 직접 생산하는 산업활동을 말한다.</t>
        </is>
      </c>
      <c r="G623" s="90" t="n">
        <v>95.09999999999999</v>
      </c>
      <c r="H623" s="90" t="n">
        <v>0</v>
      </c>
      <c r="I623" s="90" t="n">
        <v>20.2</v>
      </c>
    </row>
    <row r="624" ht="17.25" customHeight="1" s="66">
      <c r="A624" s="65" t="inlineStr">
        <is>
          <t>401003</t>
        </is>
      </c>
      <c r="B624" s="68" t="inlineStr">
        <is>
          <t>전기, 가스, 증기 및 공기조절 공급업</t>
        </is>
      </c>
      <c r="C624" s="68" t="inlineStr">
        <is>
          <t>전기, 가스, 증기 및 공기 조절 공급업</t>
        </is>
      </c>
      <c r="D624" s="68" t="inlineStr">
        <is>
          <t>발전업</t>
        </is>
      </c>
      <c r="E624" s="68" t="inlineStr">
        <is>
          <t>화력 발전업</t>
        </is>
      </c>
      <c r="F624" s="68" t="inlineStr">
        <is>
          <t>◦화력을 에너지원으로 하여 전기를 직접 생산하는 산업활동을 말한다.
&lt;예 시&gt;
·화력 발전소
·열병합 발전소</t>
        </is>
      </c>
      <c r="G624" s="90" t="n">
        <v>95.09999999999999</v>
      </c>
      <c r="H624" s="90" t="n">
        <v>0</v>
      </c>
      <c r="I624" s="90" t="n">
        <v>20.2</v>
      </c>
    </row>
    <row r="625" ht="17.25" customHeight="1" s="66">
      <c r="A625" s="65" t="inlineStr">
        <is>
          <t>401004</t>
        </is>
      </c>
      <c r="B625" s="68" t="inlineStr">
        <is>
          <t>전기, 가스, 증기 및 공기조절 공급업</t>
        </is>
      </c>
      <c r="C625" s="68" t="inlineStr">
        <is>
          <t>전기, 가스, 증기 및 공기 조절 공급업</t>
        </is>
      </c>
      <c r="D625" s="68" t="inlineStr">
        <is>
          <t>발전업</t>
        </is>
      </c>
      <c r="E625" s="68" t="inlineStr">
        <is>
          <t>풍력 발전업, 기타 발전업</t>
        </is>
      </c>
      <c r="F625" s="68" t="inlineStr">
        <is>
          <t>◦풍력, 조력 및 기타 에너지원으로 전기를 직접 생산하는 산업활동을 말한다.</t>
        </is>
      </c>
      <c r="G625" s="90" t="n">
        <v>94.59999999999999</v>
      </c>
      <c r="H625" s="90" t="n">
        <v>0</v>
      </c>
      <c r="I625" s="90" t="n">
        <v>27.8</v>
      </c>
    </row>
    <row r="626" ht="17.25" customHeight="1" s="66">
      <c r="A626" s="65" t="inlineStr">
        <is>
          <t>401005</t>
        </is>
      </c>
      <c r="B626" s="68" t="inlineStr">
        <is>
          <t>전기, 가스, 증기 및 공기조절 공급업</t>
        </is>
      </c>
      <c r="C626" s="68" t="inlineStr">
        <is>
          <t>전기, 가스, 증기 및 공기 조절 공급업</t>
        </is>
      </c>
      <c r="D626" s="68" t="inlineStr">
        <is>
          <t>송전 및 배전업</t>
        </is>
      </c>
      <c r="E626" s="68" t="inlineStr">
        <is>
          <t>송전 및 배전업</t>
        </is>
      </c>
      <c r="F626" s="68" t="inlineStr">
        <is>
          <t>◦생산된 전기를 특정 지역까지 송전하거나 송전된 전기를 최종 소비자에게 공급하는 산업활동을 말한다.
&lt;예 시&gt;
·송전소
·변전소
·배전소</t>
        </is>
      </c>
      <c r="G626" s="90" t="n">
        <v>94.59999999999999</v>
      </c>
      <c r="H626" s="90" t="n">
        <v>0</v>
      </c>
      <c r="I626" s="90" t="n">
        <v>26.2</v>
      </c>
    </row>
    <row r="627" ht="17.25" customHeight="1" s="66">
      <c r="A627" s="65" t="inlineStr">
        <is>
          <t>401006</t>
        </is>
      </c>
      <c r="B627" s="68" t="inlineStr">
        <is>
          <t>전기, 가스, 증기 및 공기조절 공급업</t>
        </is>
      </c>
      <c r="C627" s="68" t="inlineStr">
        <is>
          <t>전기, 가스, 증기 및 공기 조절 공급업</t>
        </is>
      </c>
      <c r="D627" s="68" t="inlineStr">
        <is>
          <t>전기 판매업</t>
        </is>
      </c>
      <c r="E627" s="68" t="inlineStr">
        <is>
          <t>전기 판매업</t>
        </is>
      </c>
      <c r="F627" s="68" t="inlineStr">
        <is>
          <t>◦가정, 산업 및 상업 이용자에게 전기를 공급 및 판매하거나 전기 판매를 중개하는 산업활동을 말한다.
&lt;예 시&gt;
·전기 영업소 운영
·전기 충전소 운영
·전기 판매 중개</t>
        </is>
      </c>
      <c r="G627" s="90" t="n">
        <v>95.09999999999999</v>
      </c>
      <c r="H627" s="90" t="n">
        <v>0</v>
      </c>
      <c r="I627" s="90" t="n">
        <v>17.2</v>
      </c>
    </row>
    <row r="628" ht="17.25" customHeight="1" s="66">
      <c r="A628" s="65" t="inlineStr">
        <is>
          <t>402001</t>
        </is>
      </c>
      <c r="B628" s="68" t="inlineStr">
        <is>
          <t>전기, 가스, 증기 및 공기조절 공급업</t>
        </is>
      </c>
      <c r="C628" s="68" t="inlineStr">
        <is>
          <t>전기, 가스, 증기 및 공기 조절 공급업</t>
        </is>
      </c>
      <c r="D628" s="68" t="inlineStr">
        <is>
          <t>연료용 가스 제조 및 배관공급업</t>
        </is>
      </c>
      <c r="E628" s="68" t="inlineStr">
        <is>
          <t>연료용 가스 제조 및 배관공급업</t>
        </is>
      </c>
      <c r="F628" s="68" t="inlineStr">
        <is>
          <t>◦석탄 가스, 수성 가스, 발생로 가스 등을 제조하거나 연료용 가스를 혼합하여 혼합가스를 제조하는 산업활동을 말한다. 연료용 가스를 배관시설에 의하여 가정, 산업 및 상업 사용자 등에게 직접 공급하는 산업활동을 포함한다.
&lt;예 시&gt;
·연료용 혼합 가스 생산
·연료용 석탄 가스 생산
·연료용 가스 배관공급
&lt;제 외&gt;
·산업용 압축 또는 액화 가스 제조(241101)
·차량용 가스 충전소(505002)
·소매업자에 공급하는 가스 충전소(514130)
·수수료 또는 계약에 의한 가스 관로(파이프라인) 운영(603000)</t>
        </is>
      </c>
      <c r="G628" s="90" t="n">
        <v>89.8</v>
      </c>
      <c r="H628" s="90" t="n">
        <v>0</v>
      </c>
      <c r="I628" s="90" t="n">
        <v>25.4</v>
      </c>
    </row>
    <row r="629" ht="17.25" customHeight="1" s="66">
      <c r="A629" s="65" t="inlineStr">
        <is>
          <t>403000</t>
        </is>
      </c>
      <c r="B629" s="68" t="inlineStr">
        <is>
          <t>전기, 가스, 증기 및 공기조절 공급업</t>
        </is>
      </c>
      <c r="C629" s="68" t="inlineStr">
        <is>
          <t>전기, 가스, 증기 및 공기 조절 공급업</t>
        </is>
      </c>
      <c r="D629" s="68" t="inlineStr">
        <is>
          <t>증기, 냉ㆍ온수 및 공기 조절 공급업</t>
        </is>
      </c>
      <c r="E629" s="68" t="inlineStr">
        <is>
          <t>증기, 냉ㆍ온수 및 공기 조절 공급업</t>
        </is>
      </c>
      <c r="F629" s="68" t="inlineStr">
        <is>
          <t>◦냉◦난방, 동력 또는 기타 목적의 열, 증기, 냉◦온수, 냉방 공기를 생산하는 활동과 배관시설에 의하여 사용자에게 공급하는 산업활동을 말한다. 배관시설을 통한 온천수 공급활동도 포함한다.
&lt;예 시&gt;
·냉수, 온수 생산 및 공급
·증기 생산 및 공급
·온천수 생산 및 공급
·열 생산 및 공급
·냉방 공기 생산 및 공급
&lt;제 외&gt;
·온천 종합개발(도급)(종합건설업중 해당 산업활동으로 분류) 
·광물 탐사권 임대(701600)</t>
        </is>
      </c>
      <c r="G629" s="90" t="n">
        <v>87</v>
      </c>
      <c r="H629" s="90" t="n">
        <v>0</v>
      </c>
      <c r="I629" s="90" t="n">
        <v>27.1</v>
      </c>
    </row>
    <row r="630" ht="17.25" customHeight="1" s="66">
      <c r="A630" s="65" t="inlineStr">
        <is>
          <t>410000</t>
        </is>
      </c>
      <c r="B630" s="68" t="inlineStr">
        <is>
          <t>수도, 하수 및 폐기물처리, 원료재생업</t>
        </is>
      </c>
      <c r="C630" s="68" t="inlineStr">
        <is>
          <t>수도업</t>
        </is>
      </c>
      <c r="D630" s="68" t="inlineStr">
        <is>
          <t>생활용수 공급업</t>
        </is>
      </c>
      <c r="E630" s="68" t="inlineStr">
        <is>
          <t>생활용수 공급업</t>
        </is>
      </c>
      <c r="F630" s="68" t="inlineStr">
        <is>
          <t>◦수요자에게 생활용수를 공급하기 위하여 취수, 집수, 정수 및 급수를 하는 산업활동을 말한다. 생활용수는 도수관, 송수관, 배수관, 급수관 등 배관시설에 의하여 공급된다.</t>
        </is>
      </c>
      <c r="G630" s="90" t="n">
        <v>84.09999999999999</v>
      </c>
      <c r="H630" s="90" t="n">
        <v>0</v>
      </c>
      <c r="I630" s="90" t="n">
        <v>28.5</v>
      </c>
    </row>
    <row r="631" ht="17.25" customHeight="1" s="66">
      <c r="A631" s="65" t="inlineStr">
        <is>
          <t>410001</t>
        </is>
      </c>
      <c r="B631" s="68" t="inlineStr">
        <is>
          <t>수도, 하수 및 폐기물처리, 원료재생업</t>
        </is>
      </c>
      <c r="C631" s="68" t="inlineStr">
        <is>
          <t>수도업</t>
        </is>
      </c>
      <c r="D631" s="68" t="inlineStr">
        <is>
          <t>산업용수 공급업</t>
        </is>
      </c>
      <c r="E631" s="68" t="inlineStr">
        <is>
          <t>산업용수 공급업</t>
        </is>
      </c>
      <c r="F631" s="68" t="inlineStr">
        <is>
          <t>◦수요자에게 공업용수 및 상업용수를 공급하기 위하여 취수, 집수, 정수 및 급수를 하는 산업활동을 말한다. 산업용수는 관련 배관시설에 의하여 공급된다.
&lt;제 외&gt;
·농업용수 공급 및 농업용 관개시설 운영(014302)
·하수시설 운영업(900200)</t>
        </is>
      </c>
      <c r="G631" s="90" t="n">
        <v>84.09999999999999</v>
      </c>
      <c r="H631" s="90" t="n">
        <v>0</v>
      </c>
      <c r="I631" s="90" t="n">
        <v>28.5</v>
      </c>
    </row>
    <row r="632" ht="17.25" customHeight="1" s="66">
      <c r="A632" s="65" t="inlineStr">
        <is>
          <t>451101</t>
        </is>
      </c>
      <c r="B632" s="68" t="inlineStr">
        <is>
          <t>건설업</t>
        </is>
      </c>
      <c r="C632" s="68" t="inlineStr">
        <is>
          <t>종합 건설업</t>
        </is>
      </c>
      <c r="D632" s="68" t="inlineStr">
        <is>
          <t>주거용 건물 건설업</t>
        </is>
      </c>
      <c r="E632" s="68" t="inlineStr">
        <is>
          <t>아파트 건설업</t>
        </is>
      </c>
      <c r="F632" s="68" t="inlineStr">
        <is>
          <t>◦주거용 아파트를 건설하는 산업활동을 말한다.
&lt;예 시&gt;
·아파트 건설
·주상 복합 아파트 건설
&lt;제 외&gt;
*주거용건물을 건설하여 분양(판매)(→451105)</t>
        </is>
      </c>
      <c r="G632" s="90" t="n">
        <v>91.59999999999999</v>
      </c>
      <c r="H632" s="90" t="n">
        <v>0</v>
      </c>
      <c r="I632" s="90" t="n">
        <v>11.9</v>
      </c>
    </row>
    <row r="633" ht="17.25" customHeight="1" s="66">
      <c r="A633" s="65" t="inlineStr">
        <is>
          <t>451102</t>
        </is>
      </c>
      <c r="B633" s="68" t="inlineStr">
        <is>
          <t>건설업</t>
        </is>
      </c>
      <c r="C633" s="68" t="inlineStr">
        <is>
          <t>종합 건설업</t>
        </is>
      </c>
      <c r="D633" s="68" t="inlineStr">
        <is>
          <t>주거용 건물 건설업</t>
        </is>
      </c>
      <c r="E633" s="68" t="inlineStr">
        <is>
          <t>주거용 건물 건설업</t>
        </is>
      </c>
      <c r="F633" s="68" t="inlineStr">
        <is>
          <t>◦주거용 건물을 신축하여 판매(토지보유 5년 미만)
 -직접 건설활동을 수행하지 않고 전체 건물건설 공사를 일괄 도급하여 주거용 건물을 건설하고 이를 판매(건축 시행사)</t>
        </is>
      </c>
      <c r="G633" s="90" t="n">
        <v>91</v>
      </c>
      <c r="H633" s="90" t="n">
        <v>0</v>
      </c>
      <c r="I633" s="90" t="n">
        <v>18.7</v>
      </c>
    </row>
    <row r="634" ht="17.25" customHeight="1" s="66">
      <c r="A634" s="65" t="inlineStr">
        <is>
          <t>451103</t>
        </is>
      </c>
      <c r="B634" s="68" t="inlineStr">
        <is>
          <t>건설업</t>
        </is>
      </c>
      <c r="C634" s="68" t="inlineStr">
        <is>
          <t>종합 건설업</t>
        </is>
      </c>
      <c r="D634" s="68" t="inlineStr">
        <is>
          <t>주거용 건물 건설업</t>
        </is>
      </c>
      <c r="E634" s="68" t="inlineStr">
        <is>
          <t>주거용 건물 건설업</t>
        </is>
      </c>
      <c r="F634" s="68" t="inlineStr">
        <is>
          <t>◦주거용 건물을 신축하여 판매(토지보유 5년 이상)
 -직접 건설활동을 수행하지 않고 전체 건물건설 공사를 일괄 도급하여 주거용 건물을 건설하고 이를 판매(건축 시행사)</t>
        </is>
      </c>
      <c r="G634" s="90" t="n">
        <v>87.59999999999999</v>
      </c>
      <c r="H634" s="90" t="n">
        <v>0</v>
      </c>
      <c r="I634" s="90" t="n">
        <v>21.8</v>
      </c>
    </row>
    <row r="635" ht="17.25" customHeight="1" s="66">
      <c r="A635" s="65" t="inlineStr">
        <is>
          <t>451104</t>
        </is>
      </c>
      <c r="B635" s="68" t="inlineStr">
        <is>
          <t>건설업</t>
        </is>
      </c>
      <c r="C635" s="68" t="inlineStr">
        <is>
          <t>종합 건설업</t>
        </is>
      </c>
      <c r="D635" s="68" t="inlineStr">
        <is>
          <t>비주거용 건물 건설업</t>
        </is>
      </c>
      <c r="E635" s="68" t="inlineStr">
        <is>
          <t>기타 비주거용 건물 건설업</t>
        </is>
      </c>
      <c r="F635" s="68" t="inlineStr">
        <is>
          <t>◦비주거용 건물을 건설하는 산업활동(건축 시공사)
*비주거용건물 건설용역만 해당됨(건설 후 판매 → 부동산매매업)
*직접 건설활동을 수행하지 않더라도 건설공사에 대한 총괄적 책임을 지면서 하도급을 주어 전체적으로 건설공사를 관리하는 경우 포함
◦각종 유형의 창고, 주차시설, 운송 터미널, 실내 경기장 등 기타 용도의 비주거용 건물을 건설하는 산업활동을 말한다.
&lt;예 시&gt;
·일반 창고, 냉동 및 냉장 창고, 특정용 창고 건물 건설
·여객 및 화물 터미널 건설                     ·주유소 건물 건설
·차고시설 건설                                ·박물관 및 유사 건물 건설
·동물원용 건물 건설                            ·운수관련 건물 건설
·화학물 및 저유소 건물 건설                    ·공항 건물 건설
·실내 경기장 건설</t>
        </is>
      </c>
      <c r="G635" s="90" t="n">
        <v>91.2</v>
      </c>
      <c r="H635" s="90" t="n">
        <v>0</v>
      </c>
      <c r="I635" s="90" t="n">
        <v>12.3</v>
      </c>
    </row>
    <row r="636" ht="17.25" customHeight="1" s="66">
      <c r="A636" s="65" t="inlineStr">
        <is>
          <t>451105</t>
        </is>
      </c>
      <c r="B636" s="68" t="inlineStr">
        <is>
          <t>건설업</t>
        </is>
      </c>
      <c r="C636" s="68" t="inlineStr">
        <is>
          <t>종합 건설업</t>
        </is>
      </c>
      <c r="D636" s="68" t="inlineStr">
        <is>
          <t>주거용 건물 건설업</t>
        </is>
      </c>
      <c r="E636" s="68" t="inlineStr">
        <is>
          <t>단독 주택 건설업, 아파트 건설업, 기타 공동 주택 건설업</t>
        </is>
      </c>
      <c r="F636" s="68" t="inlineStr">
        <is>
          <t>◦주거용 건물을 건설하여 분양(판매)
*직접 건설활동을 수행하지 않더라도 건설공사에 대한 총괄적 책임을 지면서 하도급을 주어 전체적으로 건설공사를 관리하는 경우 포함</t>
        </is>
      </c>
      <c r="G636" s="90" t="n">
        <v>91.59999999999999</v>
      </c>
      <c r="H636" s="90" t="n">
        <v>0</v>
      </c>
      <c r="I636" s="90" t="n">
        <v>11.8</v>
      </c>
    </row>
    <row r="637" ht="17.25" customHeight="1" s="66">
      <c r="A637" s="65" t="inlineStr">
        <is>
          <t>451106</t>
        </is>
      </c>
      <c r="B637" s="68" t="inlineStr">
        <is>
          <t>건설업</t>
        </is>
      </c>
      <c r="C637" s="68" t="inlineStr">
        <is>
          <t>종합 건설업</t>
        </is>
      </c>
      <c r="D637" s="68" t="inlineStr">
        <is>
          <t>주거용 건물 건설업</t>
        </is>
      </c>
      <c r="E637" s="68" t="inlineStr">
        <is>
          <t>단독 주택 건설업</t>
        </is>
      </c>
      <c r="F637" s="68" t="inlineStr">
        <is>
          <t>◦주거용 단독 주택 및 다가구 주택 등을 건설하는 산업활동을 말한다.
&lt;예 시&gt;
·단독 주택 및 다중 주택 건설
·다가구 주택(3층 이하, 660㎡ 이하) 건설
&lt;제 외&gt;
·직접 건설한 주거용 건물을 임대하는 경우(701101~701104)
*주거용 건물을 건설하여 분양(판매)(→451105)</t>
        </is>
      </c>
      <c r="G637" s="90" t="n">
        <v>91.59999999999999</v>
      </c>
      <c r="H637" s="90" t="n">
        <v>0</v>
      </c>
      <c r="I637" s="90" t="n">
        <v>9.199999999999999</v>
      </c>
    </row>
    <row r="638" ht="17.25" customHeight="1" s="66">
      <c r="A638" s="65" t="inlineStr">
        <is>
          <t>451107</t>
        </is>
      </c>
      <c r="B638" s="68" t="inlineStr">
        <is>
          <t>건설업</t>
        </is>
      </c>
      <c r="C638" s="68" t="inlineStr">
        <is>
          <t>종합 건설업</t>
        </is>
      </c>
      <c r="D638" s="68" t="inlineStr">
        <is>
          <t>주거용 건물 건설업</t>
        </is>
      </c>
      <c r="E638" s="68" t="inlineStr">
        <is>
          <t>기타 공동 주택 건설업</t>
        </is>
      </c>
      <c r="F638" s="68" t="inlineStr">
        <is>
          <t>◦다세대 주택, 연립 주택 등 아파트 이외의 공동 주택을 건설하는 산업활동을 말한다.
&lt;예 시&gt;
·연립 주택(4층 이하, 660㎡ 초과) 건설
·다세대 주택(4층 이하, 660㎡ 이하) 건설
&lt;제 외&gt;
*주거용건물을 건설하여 분양(판매)(→451105)</t>
        </is>
      </c>
      <c r="G638" s="90" t="n">
        <v>91.59999999999999</v>
      </c>
      <c r="H638" s="90" t="n">
        <v>0</v>
      </c>
      <c r="I638" s="90" t="n">
        <v>12.4</v>
      </c>
    </row>
    <row r="639" ht="17.25" customHeight="1" s="66">
      <c r="A639" s="65" t="inlineStr">
        <is>
          <t>451108</t>
        </is>
      </c>
      <c r="B639" s="68" t="inlineStr">
        <is>
          <t>건설업</t>
        </is>
      </c>
      <c r="C639" s="68" t="inlineStr">
        <is>
          <t>종합 건설업</t>
        </is>
      </c>
      <c r="D639" s="68" t="inlineStr">
        <is>
          <t>비주거용 건물 건설업</t>
        </is>
      </c>
      <c r="E639" s="68" t="inlineStr">
        <is>
          <t>사무ㆍ상업용 및 공공기관용 건물 건설업</t>
        </is>
      </c>
      <c r="F639" s="68" t="inlineStr">
        <is>
          <t>◦비주거용 건물을 건설하는 산업활동(건축 시공사)
*비주거용건물 건설용역만 해당됨(건설 후 판매 → 부동산매매업)
*직접 건설활동을 수행하지 않더라도 건설공사에 대한 총괄적 책임을 지면서 하도급을 주어 전체적으로 건설공사를 관리하는 경우 포함
◦사무, 상업용 및 공공기관용 건물을 건설하는 산업활동을 말한다.
&lt;예 시&gt;
·교육·연구시설 및 의료시설용 건물 건설          ·상점 및 쇼핑센터 건설
·호텔, 기숙사, 군인 막사 등 숙박시설, 각종 오락 및 상업시설용 건물 건설
·경찰서 및 소방서 건설                          ·오피스텔 건설
&lt;제 외&gt;
·일반 창고 건설(451104)               ·특정용 창고(격납고 등) 건설(451104)
·옥외 수영장 및 관련 탈의실 건설(451200)</t>
        </is>
      </c>
      <c r="G639" s="90" t="n">
        <v>91.2</v>
      </c>
      <c r="H639" s="90" t="n">
        <v>0</v>
      </c>
      <c r="I639" s="90" t="n">
        <v>12.7</v>
      </c>
    </row>
    <row r="640" ht="17.25" customHeight="1" s="66">
      <c r="A640" s="65" t="inlineStr">
        <is>
          <t>451109</t>
        </is>
      </c>
      <c r="B640" s="68" t="inlineStr">
        <is>
          <t>건설업</t>
        </is>
      </c>
      <c r="C640" s="68" t="inlineStr">
        <is>
          <t>종합 건설업</t>
        </is>
      </c>
      <c r="D640" s="68" t="inlineStr">
        <is>
          <t>비주거용 건물 건설업</t>
        </is>
      </c>
      <c r="E640" s="68" t="inlineStr">
        <is>
          <t>제조업 및 유사 산업용 건물 건설업</t>
        </is>
      </c>
      <c r="F640" s="68" t="inlineStr">
        <is>
          <t>◦비주거용 건물을 건설하는 산업활동(건축 시공사)
*비주거용건물 건설용역만 해당됨(건설 후 판매 → 부동산매매업)
*직접 건설활동을 수행하지 않더라도 건설공사에 대한 총괄적 책임을 지면서 하도급을 주어 전체적으로 건설공사를 관리하는 경우 포함
·각종 제조 공장 및 유사 산업용 건물을 건설하는 산업활동을 말한다. 건물 건설공사와 함께 생산시설용 기계 및 설비의 부분적인 설치공사가 수행될 수 있다.
&lt;예 시&gt;
·공업용 건물 건설                       ·광산용 건물 건설
·화학산업용 건물 건설                   ·발전소용 건물 건설
&lt;제 외&gt;
·종합적인 계획에 따라 제조업 및 유사 산업용 건물과 함께 기계·설비류, 구조물 등의 설치를 병행하는 경우(451300)</t>
        </is>
      </c>
      <c r="G640" s="90" t="n">
        <v>91.2</v>
      </c>
      <c r="H640" s="90" t="n">
        <v>0</v>
      </c>
      <c r="I640" s="90" t="n">
        <v>17.5</v>
      </c>
    </row>
    <row r="641" ht="17.25" customHeight="1" s="66">
      <c r="A641" s="65" t="inlineStr">
        <is>
          <t>451200</t>
        </is>
      </c>
      <c r="B641" s="68" t="inlineStr">
        <is>
          <t>건설업</t>
        </is>
      </c>
      <c r="C641" s="68" t="inlineStr">
        <is>
          <t>종합 건설업</t>
        </is>
      </c>
      <c r="D641" s="68" t="inlineStr">
        <is>
          <t>토목 시설물 건설업</t>
        </is>
      </c>
      <c r="E641" s="68" t="inlineStr">
        <is>
          <t>기타 토목 시설물 건설업</t>
        </is>
      </c>
      <c r="F641" s="68" t="inlineStr">
        <is>
          <t>◦실외 경기장, 상◦하수도 본관 및 관련 시설물, 관로(파이프라인) 등 각종 토목 시설물을 건설하는 산업활동을 말한다.
&lt;예 시&gt;
·종합계획에 의한 공항 건설 
·주경기장(스타디움, stadium) 공사
·야외 경기장 및 유사 오락시설 공사
·종합적 계획에 따라 조성되는 기반시설용 상·하수도 본관(도수관, 송수관, 배수관, 오수관), 농·공업용 수도관 공사
·석유, 가스 등 관로(파이프라인) 공사  
·미사일 발사대 및 유사 군사용 구조물 설치 공사
·철탑 건설(송전탑은452125)
·취수, 정수, 송·배수용 기기 설치공사
·가스 충전시설, 집단 공급시설, 저장시설, 사용시설, 판매시설 설치 공사
&lt;제 외&gt;
·농지 개발 및 정지, 광산부지 조성 관련 공사(451204)</t>
        </is>
      </c>
      <c r="G641" s="90" t="n">
        <v>89.59999999999999</v>
      </c>
      <c r="H641" s="90" t="n">
        <v>0</v>
      </c>
      <c r="I641" s="90" t="n">
        <v>16.4</v>
      </c>
    </row>
    <row r="642" ht="17.25" customHeight="1" s="66">
      <c r="A642" s="65" t="inlineStr">
        <is>
          <t>451204</t>
        </is>
      </c>
      <c r="B642" s="68" t="inlineStr">
        <is>
          <t>건설업</t>
        </is>
      </c>
      <c r="C642" s="68" t="inlineStr">
        <is>
          <t>종합 건설업</t>
        </is>
      </c>
      <c r="D642" s="68" t="inlineStr">
        <is>
          <t>지반조성 건설업</t>
        </is>
      </c>
      <c r="E642" s="68" t="inlineStr">
        <is>
          <t>지반조성 건설업</t>
        </is>
      </c>
      <c r="F642" s="68" t="inlineStr">
        <is>
          <t>◦택지 조성공사, 공장부지 조성공사, 광산용지 개발 등의 건설부지 및 기타 용지를 개발◦조성하는 산업활동을 말한다. 각종 부지 조성공사와 결합된 도로 및 관련 특수 구조물, 상◦하수도, 가로등, 전기통신, 조경, 정보화 시설공사 등과 간척공사를 포함한다.
&lt;제 외&gt;
·토공사(452110)
·묘지 개발·공급업(701700)
·토지 개발·공급업(703011,703012,703021~703024)
·계약에 의한 원유 및 천연가스 채굴관련 건설활동(142910)</t>
        </is>
      </c>
      <c r="G642" s="90" t="n">
        <v>89.59999999999999</v>
      </c>
      <c r="H642" s="90" t="n">
        <v>0</v>
      </c>
      <c r="I642" s="90" t="n">
        <v>18.8</v>
      </c>
    </row>
    <row r="643" ht="17.25" customHeight="1" s="66">
      <c r="A643" s="65" t="inlineStr">
        <is>
          <t>451205</t>
        </is>
      </c>
      <c r="B643" s="68" t="inlineStr">
        <is>
          <t>건설업</t>
        </is>
      </c>
      <c r="C643" s="68" t="inlineStr">
        <is>
          <t>종합 건설업</t>
        </is>
      </c>
      <c r="D643" s="68" t="inlineStr">
        <is>
          <t>토목 시설물 건설업</t>
        </is>
      </c>
      <c r="E643" s="68" t="inlineStr">
        <is>
          <t>도로 건설업</t>
        </is>
      </c>
      <c r="F643" s="68" t="inlineStr">
        <is>
          <t>◦각종 도로, 공항 활주로, 인도 등의 도로 건설을 수행하는 산업활동으로서 도로 건설활동과 결합된 포장공사 및 도로 관련 구조물을 설치하는 산업활동도 포함한다.
&lt;예 시&gt;
·도로공사
·활주로공사
·인도공사
·보도공사
·고속도로 건설
&lt;제 외&gt;
·도로건설과 분리된 교량, 고가도로 및 지하도공사(451206)
·도로건설과 분리된 도로선 표시공사(452129)
·도로 포장공사를 전문적으로 수행하는 경우(452108)
·농로, 기계화 경작로, 마을 안길 등 콘크리트 포장공사(포장장비 미사용)(452119)</t>
        </is>
      </c>
      <c r="G643" s="90" t="n">
        <v>89.59999999999999</v>
      </c>
      <c r="H643" s="90" t="n">
        <v>0</v>
      </c>
      <c r="I643" s="90" t="n">
        <v>21.9</v>
      </c>
    </row>
    <row r="644" ht="17.25" customHeight="1" s="66">
      <c r="A644" s="65" t="inlineStr">
        <is>
          <t>451206</t>
        </is>
      </c>
      <c r="B644" s="68" t="inlineStr">
        <is>
          <t>건설업</t>
        </is>
      </c>
      <c r="C644" s="68" t="inlineStr">
        <is>
          <t>종합 건설업</t>
        </is>
      </c>
      <c r="D644" s="68" t="inlineStr">
        <is>
          <t>토목 시설물 건설업</t>
        </is>
      </c>
      <c r="E644" s="68" t="inlineStr">
        <is>
          <t>교량, 터널 및 철도 건설업</t>
        </is>
      </c>
      <c r="F644" s="68" t="inlineStr">
        <is>
          <t>◦도로건설과 분리된 교량◦터널◦고가도로 건설 및 철도◦지하철도를 건설하는 산업활동을 말한다. 고가 수로 건설이 수로공사와 분리될 경우에도 포함한다.
&lt;예 시&gt;
·철교 건설
·터널 및 유사 구축물 건설
·수중 터널 공사
·이동식 교량 건설
·지하도 건설
·출렁다리(줄다리) 건설
&lt;제 외&gt;
·교량 및 철도 건설과 분리된 철 구조물 및 철도 궤도 부설 전문공사(452118,452122)</t>
        </is>
      </c>
      <c r="G644" s="90" t="n">
        <v>89.59999999999999</v>
      </c>
      <c r="H644" s="90" t="n">
        <v>0</v>
      </c>
      <c r="I644" s="90" t="n">
        <v>13.4</v>
      </c>
    </row>
    <row r="645" ht="17.25" customHeight="1" s="66">
      <c r="A645" s="65" t="inlineStr">
        <is>
          <t>451207</t>
        </is>
      </c>
      <c r="B645" s="68" t="inlineStr">
        <is>
          <t>건설업</t>
        </is>
      </c>
      <c r="C645" s="68" t="inlineStr">
        <is>
          <t>종합 건설업</t>
        </is>
      </c>
      <c r="D645" s="68" t="inlineStr">
        <is>
          <t>토목 시설물 건설업</t>
        </is>
      </c>
      <c r="E645" s="68" t="inlineStr">
        <is>
          <t>항만, 수로, 댐 및 유사 구조물 건설업</t>
        </is>
      </c>
      <c r="F645" s="68" t="inlineStr">
        <is>
          <t>◦종합적인 계획에 따라 관리되고 조성되는 항만시설, 댐 및 저수시설, 관개 및 기타 용도의 수로 등을 건설하는 산업활동을 말한다.
&lt;예 시&gt;
·방파제 및 유사 구축물 건설
·운하 및 유사 구축물 건설
·항구 및 항만시설 건설
·강 제방 및 유사 구조물 건설
·부두, 잔교 및 유사 구조물 공사
·저수지 개발 공사
·하천ㆍ항만 등의 물 밑을 준설선 등의 장비를 활용한 준설 공사
&lt;제 외&gt;
·조경용 인공호수(굴착) 건설(451400)
·건축물 축조와 관련한 기초공사에 수반되는 배수로공사(452113)
·부지조성 관련 독립적으로 실시되는 상수도 및 하수도관 등 각종 기반시설 설치 공사(451200)
·송유관 등 관로(파이프라인) 설치 공사(451200)</t>
        </is>
      </c>
      <c r="G645" s="90" t="n">
        <v>89.59999999999999</v>
      </c>
      <c r="H645" s="90" t="n">
        <v>0</v>
      </c>
      <c r="I645" s="90" t="n">
        <v>13.4</v>
      </c>
    </row>
    <row r="646" ht="17.25" customHeight="1" s="66">
      <c r="A646" s="65" t="inlineStr">
        <is>
          <t>451208</t>
        </is>
      </c>
      <c r="B646" s="68" t="inlineStr">
        <is>
          <t>건설업</t>
        </is>
      </c>
      <c r="C646" s="68" t="inlineStr">
        <is>
          <t>종합 건설업</t>
        </is>
      </c>
      <c r="D646" s="68" t="inlineStr">
        <is>
          <t>토목 시설물 건설업</t>
        </is>
      </c>
      <c r="E646" s="68" t="inlineStr">
        <is>
          <t>환경설비 건설업</t>
        </is>
      </c>
      <c r="F646" s="68" t="inlineStr">
        <is>
          <t>◦환경오염을 예방ㆍ제거ㆍ감축하거나 환경오염 물질을 처리ㆍ재활용하기 위한 시설인 폐기물 처리 및 환경오염 방지시설을 건설하는 산업활동을 말한다.
&lt;예 시&gt;
·오수 및 폐수처리 시설공사
·쓰레기처리 시설공사
·하수 종말 처리장 시설공사
·환경 오염방지 시설공사
·분뇨처리 시설공사
·폐기물 소각장 설치공사
&lt;제 외&gt;
·관개 및 기타 용도의 수로 건설공사(451207)
·산업 생산설비를 종합적으로 건설하는 공사(451300)
·건물용 환경 위생처리 기기 및 관련 배관을 설치하는 경우(452104)</t>
        </is>
      </c>
      <c r="G646" s="90" t="n">
        <v>89.59999999999999</v>
      </c>
      <c r="H646" s="90" t="n">
        <v>0</v>
      </c>
      <c r="I646" s="90" t="n">
        <v>13.4</v>
      </c>
    </row>
    <row r="647" ht="17.25" customHeight="1" s="66">
      <c r="A647" s="65" t="inlineStr">
        <is>
          <t>451300</t>
        </is>
      </c>
      <c r="B647" s="68" t="inlineStr">
        <is>
          <t>건설업</t>
        </is>
      </c>
      <c r="C647" s="68" t="inlineStr">
        <is>
          <t>종합 건설업</t>
        </is>
      </c>
      <c r="D647" s="68" t="inlineStr">
        <is>
          <t>토목 시설물 건설업</t>
        </is>
      </c>
      <c r="E647" s="68" t="inlineStr">
        <is>
          <t>산업 생산시설 종합 건설업</t>
        </is>
      </c>
      <c r="F647" s="68" t="inlineStr">
        <is>
          <t>◦종합적인 계획에 따라 관리되고 조성되는 산업 생산시설, 전기 및 가스 등 에너지 생산시설 등을 건설하는 산업활동을 말한다. 산업 생산시설은 생산자가 목적으로 하는 원료, 에너지, 중간재, 최종 제품 등을 독자적으로 생산할 수 있는 기계와 장치, 관련 구조물, 건물이 결합된 단위 생산시설을 나타낸다.
&lt;예 시&gt;
·화학공업설비 설치공사
·발전설비 설치공사
·화학 물질 처리설비 설치공사
·광산설비 설치공사
·도시가스 제조설비 설치공사
&lt;제 외&gt;
·산업설비 설치용 건물 건설(451104,451108,451109)
·산업 생산설비의 성격을 갖지 않는 특정한 산업용 기계장비의 조립·설치는 해당 기계의 제조활동으로 분류
·산업 생산설비 성격을 갖지 않는 건물 설비용 단일 기계·장비를 전문 건설업자가 조립·설치하는 경우(452124)</t>
        </is>
      </c>
      <c r="G647" s="90" t="n">
        <v>87.7</v>
      </c>
      <c r="H647" s="90" t="n">
        <v>0</v>
      </c>
      <c r="I647" s="90" t="n">
        <v>14</v>
      </c>
    </row>
    <row r="648" ht="17.25" customHeight="1" s="66">
      <c r="A648" s="65" t="inlineStr">
        <is>
          <t>451400</t>
        </is>
      </c>
      <c r="B648" s="68" t="inlineStr">
        <is>
          <t>건설업</t>
        </is>
      </c>
      <c r="C648" s="68" t="inlineStr">
        <is>
          <t>종합 건설업</t>
        </is>
      </c>
      <c r="D648" s="68" t="inlineStr">
        <is>
          <t>토목 시설물 건설업</t>
        </is>
      </c>
      <c r="E648" s="68" t="inlineStr">
        <is>
          <t>조경 건설업</t>
        </is>
      </c>
      <c r="F648" s="68" t="inlineStr">
        <is>
          <t>◦종합적인 계획에 따라 관리되고 조성되는 수목원, 공원, 녹지, 숲 조성 등 경관 및 환경을 조성ㆍ개량하는 토목공사를 수행하는 산업활동으로서 조경수, 잔디, 화초 등 각종 조경용 식물을 식재 또는 파종하거나 조경 시설물을 설치하는 공사가 결합 수행될 수 있다.
&lt;예 시&gt;
·외부 환경 조성공사
·조경 건설공사
·정원 조성공사
·녹지 조성공사
&lt;제 외&gt;
·공원 및 정원 조성을 위한 조경수 식재 및 유지관리 활동(749303)</t>
        </is>
      </c>
      <c r="G648" s="90" t="n">
        <v>91</v>
      </c>
      <c r="H648" s="90" t="n">
        <v>0</v>
      </c>
      <c r="I648" s="90" t="n">
        <v>13.7</v>
      </c>
    </row>
    <row r="649" ht="17.25" customHeight="1" s="66">
      <c r="A649" s="65" t="inlineStr">
        <is>
          <t>452101</t>
        </is>
      </c>
      <c r="B649" s="68" t="inlineStr">
        <is>
          <t>건설업</t>
        </is>
      </c>
      <c r="C649" s="68" t="inlineStr">
        <is>
          <t>전문직별 공사업</t>
        </is>
      </c>
      <c r="D649" s="68" t="inlineStr">
        <is>
          <t>기타 건축 마무리 공사업</t>
        </is>
      </c>
      <c r="E649" s="68" t="inlineStr">
        <is>
          <t>미장, 타일 및 방수 공사업</t>
        </is>
      </c>
      <c r="F649" s="68" t="inlineStr">
        <is>
          <t>◦전문직별 도급 건설업자가 건축물의 벽면 및 바닥의 미장공사, 방수공사 및 타일공사를 수행하는 산업활동을 말한다.
&lt;예 시&gt;
·모자이크공사
·미장, 타일, 방수공사 시공과 관련 건물 본체 및 설비 등과 일체화 공사(태핑공사)
·대리석 부착공사
·프레스코공사
·모래 분사 부착(취부)공사
·타일 및 테라조 내장공사
·회반죽 공사 및 관련 미장공사
&lt;제 외&gt;
·블록, 벽돌, 석재 조적공사(452114)
·지붕공사(452123)
·방음공사(452115)
·핫 태핑, 콜드 태핑공사(452104)</t>
        </is>
      </c>
      <c r="G649" s="90" t="n">
        <v>92.8</v>
      </c>
      <c r="H649" s="90" t="n">
        <v>0</v>
      </c>
      <c r="I649" s="90" t="n">
        <v>15.2</v>
      </c>
    </row>
    <row r="650" ht="17.25" customHeight="1" s="66">
      <c r="A650" s="65" t="inlineStr">
        <is>
          <t>452102</t>
        </is>
      </c>
      <c r="B650" s="68" t="inlineStr">
        <is>
          <t>건설업</t>
        </is>
      </c>
      <c r="C650" s="68" t="inlineStr">
        <is>
          <t>전문직별 공사업</t>
        </is>
      </c>
      <c r="D650" s="68" t="inlineStr">
        <is>
          <t>유리 및 창호 공사업</t>
        </is>
      </c>
      <c r="E650" s="68" t="inlineStr">
        <is>
          <t>유리 및 창호 공사업</t>
        </is>
      </c>
      <c r="F650" s="68" t="inlineStr">
        <is>
          <t>◦전문직별 건설업자가 각종 유리공사 및 창호공사를 전문적으로 수행하는 산업활동을 말한다.
&lt;예 시&gt;
·유리공사
·유리 끼우기 공사
·창문 유리 설치공사
·플라스틱 창호 설치공사
·목재 창호 설치공사
·새시 설치공사
·금속 창호 설치공사
·일반 셔터 설치공사
&lt;제 외&gt;
·회전문공사(452124)
·회전문 또는 자동문 개폐장치 설치공사(452124)</t>
        </is>
      </c>
      <c r="G650" s="90" t="n">
        <v>92.5</v>
      </c>
      <c r="H650" s="90" t="n">
        <v>0</v>
      </c>
      <c r="I650" s="90" t="n">
        <v>12.2</v>
      </c>
    </row>
    <row r="651" ht="17.25" customHeight="1" s="66">
      <c r="A651" s="65" t="inlineStr">
        <is>
          <t>452103</t>
        </is>
      </c>
      <c r="B651" s="68" t="inlineStr">
        <is>
          <t>건설업</t>
        </is>
      </c>
      <c r="C651" s="68" t="inlineStr">
        <is>
          <t>전문직별 공사업</t>
        </is>
      </c>
      <c r="D651" s="68" t="inlineStr">
        <is>
          <t>기반조성 관련 전문공사업</t>
        </is>
      </c>
      <c r="E651" s="68" t="inlineStr">
        <is>
          <t>보링, 그라우팅 및 관정 공사업</t>
        </is>
      </c>
      <c r="F651" s="68" t="inlineStr">
        <is>
          <t>◦전문직별 도급 건설업자가 지반 또는 구조물 등에 천공을 하거나 압력을 가하여 보강재를 설치하거나 회반죽 등을 주입 또는 혼합 처리하는 공사를 수행하는 산업활동을 말한다.
&lt;예 시&gt;
·보링 및 그라우팅공사
&lt;제 외&gt;
*지반 또는 구조물 등에 관정, 우물 등을 굴착하는 공사(→452112)</t>
        </is>
      </c>
      <c r="G651" s="90" t="n">
        <v>91.09999999999999</v>
      </c>
      <c r="H651" s="90" t="n">
        <v>0</v>
      </c>
      <c r="I651" s="90" t="n">
        <v>15.1</v>
      </c>
    </row>
    <row r="652" ht="17.25" customHeight="1" s="66">
      <c r="A652" s="65" t="inlineStr">
        <is>
          <t>452104</t>
        </is>
      </c>
      <c r="B652" s="68" t="inlineStr">
        <is>
          <t>건설업</t>
        </is>
      </c>
      <c r="C652" s="68" t="inlineStr">
        <is>
          <t>전문직별 공사업</t>
        </is>
      </c>
      <c r="D652" s="68" t="inlineStr">
        <is>
          <t>건물설비 설치 공사업</t>
        </is>
      </c>
      <c r="E652" s="68" t="inlineStr">
        <is>
          <t>배관 및 냉ㆍ난방 공사업</t>
        </is>
      </c>
      <c r="F652" s="68" t="inlineStr">
        <is>
          <t>◦전문직별 건설업자가 건물이나 구축물 축조에 관련되는 배관, 냉◦난방, 환기 등 공기 조절설비의 설치◦보수공사를 수행하는 산업활동을 말한다.
&lt;예 시&gt;
·보일러 공사
·건물 내부 가스설비 설치공사
·송풍관 건설 공사
·환기시설 공사
·화재방지용, 조경용 살수시설(스프링클러) 및 물펌프 설치 공사
·보일러 연소기 설치공사
·배관공사와 결합된 판금, 용품, 기기 등 설치 공사
·요업용, 금속용 요로 설치 공사
·온돌 설치공사
·보온ㆍ보냉 등 열절연 공사
·태핑(핫태핑, 콜드태핑) 공사
·덕트 설치공사
&lt;제 외&gt;
·배관공사와 분리된 함석 및 판금공사(452123)
·냉장고, 룸에어콘 등 가정용 기기 수리(922104)
·토목성격의 상·하수도 배관공사(451200)
·소방시설공사(452116)
*상하수도 설비공사(→452132)</t>
        </is>
      </c>
      <c r="G652" s="90" t="n">
        <v>91.2</v>
      </c>
      <c r="H652" s="90" t="n">
        <v>0</v>
      </c>
      <c r="I652" s="90" t="n">
        <v>13.4</v>
      </c>
    </row>
    <row r="653" ht="17.25" customHeight="1" s="66">
      <c r="A653" s="65" t="inlineStr">
        <is>
          <t>452105</t>
        </is>
      </c>
      <c r="B653" s="68" t="inlineStr">
        <is>
          <t>건설업</t>
        </is>
      </c>
      <c r="C653" s="68" t="inlineStr">
        <is>
          <t>전문직별 공사업</t>
        </is>
      </c>
      <c r="D653" s="68" t="inlineStr">
        <is>
          <t>도장, 도배 및 내장 공사업</t>
        </is>
      </c>
      <c r="E653" s="68" t="inlineStr">
        <is>
          <t>도배, 실내 장식 및 내장 목공사업</t>
        </is>
      </c>
      <c r="F653" s="68" t="inlineStr">
        <is>
          <t>◦전문직별 건설업자가 건물 및 구축물 벽면의 도배공사를 수행하는 산업활동을 말한다.
&lt;예 시&gt;
·벽지 부착공사
&lt;제 외&gt;
*인테리어공사 등(→452106)
*건물 및 구축물의 카펫공사, 바닥재 설치공사 등 실내 장식공사, 내장 목공사(→452107)</t>
        </is>
      </c>
      <c r="G653" s="90" t="n">
        <v>88.7</v>
      </c>
      <c r="H653" s="90" t="n">
        <v>0</v>
      </c>
      <c r="I653" s="90" t="n">
        <v>14</v>
      </c>
    </row>
    <row r="654" ht="17.25" customHeight="1" s="66">
      <c r="A654" s="65" t="inlineStr">
        <is>
          <t>452106</t>
        </is>
      </c>
      <c r="B654" s="68" t="inlineStr">
        <is>
          <t>건설업</t>
        </is>
      </c>
      <c r="C654" s="68" t="inlineStr">
        <is>
          <t>전문직별 공사업</t>
        </is>
      </c>
      <c r="D654" s="68" t="inlineStr">
        <is>
          <t>도장, 도배 및 내장 공사업</t>
        </is>
      </c>
      <c r="E654" s="68" t="inlineStr">
        <is>
          <t>도배, 실내 장식 및 내장 목공사업</t>
        </is>
      </c>
      <c r="F654" s="68" t="inlineStr">
        <is>
          <t>◦실내 장식공사, 인테리어공사 등</t>
        </is>
      </c>
      <c r="G654" s="90" t="n">
        <v>88.2</v>
      </c>
      <c r="H654" s="90" t="n">
        <v>0</v>
      </c>
      <c r="I654" s="90" t="n">
        <v>11.5</v>
      </c>
    </row>
    <row r="655" ht="17.25" customHeight="1" s="66">
      <c r="A655" s="65" t="inlineStr">
        <is>
          <t>452107</t>
        </is>
      </c>
      <c r="B655" s="68" t="inlineStr">
        <is>
          <t>건설업</t>
        </is>
      </c>
      <c r="C655" s="68" t="inlineStr">
        <is>
          <t>전문직별 공사업</t>
        </is>
      </c>
      <c r="D655" s="68" t="inlineStr">
        <is>
          <t>도장, 도배 및 내장 공사업</t>
        </is>
      </c>
      <c r="E655" s="68" t="inlineStr">
        <is>
          <t>도배, 실내 장식 및 내장 목공사업</t>
        </is>
      </c>
      <c r="F655" s="68" t="inlineStr">
        <is>
          <t>◦전문직별 건설업자가 건물 및 구축물의 카펫공사, 바닥재 설치공사 등 내장 목공사를 수행하는 산업활동을 말한다.
&lt;예 시&gt;
·모노륨 등 바닥재 설치공사
·마루 덮개공사
·비닐장판 설치공사
·장판 설치공사
·목재 마루 깔기공사
·목세공공사
·목공물 부착공사
·벽면 목공사
&lt;제 외&gt;
·문 및 창호 공사(452102)
·형틀 목공사(452120)
*벽지 부착공사(→452105)
*실내 장식공사, 인테리어공사 등(→452106)</t>
        </is>
      </c>
      <c r="G655" s="90" t="n">
        <v>91.2</v>
      </c>
      <c r="H655" s="90" t="n">
        <v>0</v>
      </c>
      <c r="I655" s="90" t="n">
        <v>12.7</v>
      </c>
    </row>
    <row r="656" ht="17.25" customHeight="1" s="66">
      <c r="A656" s="65" t="inlineStr">
        <is>
          <t>452108</t>
        </is>
      </c>
      <c r="B656" s="68" t="inlineStr">
        <is>
          <t>건설업</t>
        </is>
      </c>
      <c r="C656" s="68" t="inlineStr">
        <is>
          <t>전문직별 공사업</t>
        </is>
      </c>
      <c r="D656" s="68" t="inlineStr">
        <is>
          <t>기타 시설물 축조 관련 전문공사업</t>
        </is>
      </c>
      <c r="E656" s="68" t="inlineStr">
        <is>
          <t>포장 공사업</t>
        </is>
      </c>
      <c r="F656" s="68" t="inlineStr">
        <is>
          <t>◦포장장비를 사용하여 역청 물질(아스팔트 등), 시멘트, 콘크리트 등으로 도로 및 공항 등의 토목건설에 관련된 지면의 포장공사를 전문적으로 수행하는 산업활동을 말한다.
&lt;예 시&gt;
·아스팔트 포장공사
·공항 활주로 포장공사
·콘크리트 포장공사
·포장장비를 사용한 농로, 기계화 경작로, 마을 안길 등 포장공사
·과속 방지턱 설치공사
·보도 블럭, 경계석, 특수 블럭 설치공사(석재 제외)</t>
        </is>
      </c>
      <c r="G656" s="90" t="n">
        <v>91.40000000000001</v>
      </c>
      <c r="H656" s="90" t="n">
        <v>0</v>
      </c>
      <c r="I656" s="90" t="n">
        <v>15.6</v>
      </c>
    </row>
    <row r="657" ht="17.25" customHeight="1" s="66">
      <c r="A657" s="65" t="inlineStr">
        <is>
          <t>452109</t>
        </is>
      </c>
      <c r="B657" s="68" t="inlineStr">
        <is>
          <t>건설업</t>
        </is>
      </c>
      <c r="C657" s="68" t="inlineStr">
        <is>
          <t>전문직별 공사업</t>
        </is>
      </c>
      <c r="D657" s="68" t="inlineStr">
        <is>
          <t>기타 시설물 축조 관련 전문공사업</t>
        </is>
      </c>
      <c r="E657" s="68" t="inlineStr">
        <is>
          <t>수중 공사업</t>
        </is>
      </c>
      <c r="F657" s="68" t="inlineStr">
        <is>
          <t>◦전문직별 건설업자가 수중 또는 해저 작업이 요구되는 시설물을 설치하거나 지장물을 해체하는 공사를 전문적으로 수행하는 산업활동을 말한다.
&lt;예 시&gt;
·수중 건축 공사
·잠수 및 수중 공사
·수중 암석 파쇄공사
·수중 구조물 설치 및 해체 공사
·계선 부표 및 부이 등 항로 표지 설치 공사
&lt;제 외&gt;
·수중 터널 공사(451206)</t>
        </is>
      </c>
      <c r="G657" s="90" t="n">
        <v>92.2</v>
      </c>
      <c r="H657" s="90" t="n">
        <v>0</v>
      </c>
      <c r="I657" s="90" t="n">
        <v>14</v>
      </c>
    </row>
    <row r="658" ht="17.25" customHeight="1" s="66">
      <c r="A658" s="65" t="inlineStr">
        <is>
          <t>452110</t>
        </is>
      </c>
      <c r="B658" s="68" t="inlineStr">
        <is>
          <t>건설업</t>
        </is>
      </c>
      <c r="C658" s="68" t="inlineStr">
        <is>
          <t>전문직별 공사업</t>
        </is>
      </c>
      <c r="D658" s="68" t="inlineStr">
        <is>
          <t>기반조성 관련 전문공사업</t>
        </is>
      </c>
      <c r="E658" s="68" t="inlineStr">
        <is>
          <t>토공사업</t>
        </is>
      </c>
      <c r="F658" s="68" t="inlineStr">
        <is>
          <t>◦계약에 의하여 도급 건설업자가 각종 공사를 위한 발파, 암석 제거, 굴착, 토사 운반, 땅 고르기, 절토, 성토, 비탈 보호, 물막이, 흙막이 및 관련 배수로 설치공사 등의 토공사 및 정지공사를 수행하는 산업활동을 말한다.
&lt;예 시&gt;
·공업용지 조성용 정지공사
·사방공사
·광산용지 조성관련 토공사
·굴착, 흙 운반 및 땅 고르기공사
·철도 도상 자갈공사
·폐기물 매립지 굴착·선별·성토공사
·굴진공사
&lt;제 외&gt;
·건축물 축조 관련 굴착, 흙 운반, 배수로공사(452113)
·택지 등 지반 조성공사(451204)
·건물 축조관련 파일공사(452113)
·묘지 개발 공급(701700)
·위탁 및 자영으로 토지, 농지 등의 토지를 개발하여 분양·판매(해당 토지 개발하여 분양·판매하는 산업활동으로 분류)</t>
        </is>
      </c>
      <c r="G658" s="90" t="n">
        <v>92.8</v>
      </c>
      <c r="H658" s="90" t="n">
        <v>0</v>
      </c>
      <c r="I658" s="90" t="n">
        <v>17.2</v>
      </c>
    </row>
    <row r="659" ht="17.25" customHeight="1" s="66">
      <c r="A659" s="65" t="inlineStr">
        <is>
          <t>452111</t>
        </is>
      </c>
      <c r="B659" s="68" t="inlineStr">
        <is>
          <t>건설업</t>
        </is>
      </c>
      <c r="C659" s="68" t="inlineStr">
        <is>
          <t>전문직별 공사업</t>
        </is>
      </c>
      <c r="D659" s="68" t="inlineStr">
        <is>
          <t>시설물 유지관리 공사업</t>
        </is>
      </c>
      <c r="E659" s="68" t="inlineStr">
        <is>
          <t>시설물 유지관리 공사업</t>
        </is>
      </c>
      <c r="F659" s="68" t="inlineStr">
        <is>
          <t>◦시설물 완공 이후 그 기능을 보전하고 이용자의 편의와 안전을 높이기 위하여 시설물을 점검◦정비하고 개량◦보수◦보강하는 공사로서 2종 이상의 전문직별 공사업무 내용으로 수행하는 건축물 개량◦보수◦보강공사를 수행하는 산업활동을 말한다. 건축물 증축◦개축◦재축 및 대수선 공사, 건축물 이외 시설물 증설◦확장공사, 주요 구조부를 해체한 후 보수◦보강 및 변경하는 공사, 전문 건설업종 중 1개 업종 업무 내용만으로 수행하는 건축물 개량◦보수◦보강공사는 제외한다.</t>
        </is>
      </c>
      <c r="G659" s="90" t="n">
        <v>90.7</v>
      </c>
      <c r="H659" s="90" t="n">
        <v>0</v>
      </c>
      <c r="I659" s="90" t="n">
        <v>15.1</v>
      </c>
    </row>
    <row r="660" ht="17.25" customHeight="1" s="66">
      <c r="A660" s="65" t="inlineStr">
        <is>
          <t>452112</t>
        </is>
      </c>
      <c r="B660" s="68" t="inlineStr">
        <is>
          <t>건설업</t>
        </is>
      </c>
      <c r="C660" s="68" t="inlineStr">
        <is>
          <t>전문직별 공사업</t>
        </is>
      </c>
      <c r="D660" s="68" t="inlineStr">
        <is>
          <t>기반조성 관련 전문공사업</t>
        </is>
      </c>
      <c r="E660" s="68" t="inlineStr">
        <is>
          <t>보링, 그라우팅 및 관정 공사업</t>
        </is>
      </c>
      <c r="F660" s="68" t="inlineStr">
        <is>
          <t>◦전문직별 도급 건설업자가 지반 또는 구조물 등에 관정, 우물 등을 굴착하는 공사를 수행하는 산업활동을 말한다.
&lt;예 시&gt;
·굴정공사
·지하수 개발 공사
·관정(관개용 우물)공사
·우물공사
&lt;제 외&gt;
·조경용 연못 건설(451400)
*지반 또는 구조물 등에 천공을 하거나 압력을 가하여 보강재를 설치하거나 회반죽 등을 주입 또는 혼합 처리하는 공사(→452103)</t>
        </is>
      </c>
      <c r="G660" s="90" t="n">
        <v>92.8</v>
      </c>
      <c r="H660" s="90" t="n">
        <v>0</v>
      </c>
      <c r="I660" s="90" t="n">
        <v>20.3</v>
      </c>
    </row>
    <row r="661" ht="17.25" customHeight="1" s="66">
      <c r="A661" s="65" t="inlineStr">
        <is>
          <t>452113</t>
        </is>
      </c>
      <c r="B661" s="68" t="inlineStr">
        <is>
          <t>건설업</t>
        </is>
      </c>
      <c r="C661" s="68" t="inlineStr">
        <is>
          <t>전문직별 공사업</t>
        </is>
      </c>
      <c r="D661" s="68" t="inlineStr">
        <is>
          <t>기반조성 관련 전문공사업</t>
        </is>
      </c>
      <c r="E661" s="68" t="inlineStr">
        <is>
          <t>파일공사 및 축조관련 기초 공사업</t>
        </is>
      </c>
      <c r="F661" s="68" t="inlineStr">
        <is>
          <t>◦전문직별 도급 건설업자가 건축물의 축조에 관련되는 파일공사(항타기에 의하여 파일을 박거나 샌드파일 등을 설치하는 공사), 축조용 대지 굴착 및 관련 흙 운반공사, 건축물 기초 공사관련 배수로공사 등의 축조관련 기초공사를 수행하는 산업활동을 말한다.
&lt;예 시&gt;
·파일공사 및 관련공사
·축조관련 부지 기초공사 및 관련공사(대지 굴착, 흙 운반, 배수로공사 등)
·축조 관련 기초공사와 결합된 콘크리트공사
·건축부지, 농·임업용지 배수로 공사
&lt;제 외&gt;
·건설용지, 농지, 광산용지 등 지반조성 관련공사(451204)
·사방공사 등 토공사(452110)
·철근공사 등 축조관련 전문공사(해당 시설물 축조관련 산업활동으로 분류)</t>
        </is>
      </c>
      <c r="G661" s="90" t="n">
        <v>92.8</v>
      </c>
      <c r="H661" s="90" t="n">
        <v>0</v>
      </c>
      <c r="I661" s="90" t="n">
        <v>17.5</v>
      </c>
    </row>
    <row r="662" ht="17.25" customHeight="1" s="66">
      <c r="A662" s="65" t="inlineStr">
        <is>
          <t>452114</t>
        </is>
      </c>
      <c r="B662" s="68" t="inlineStr">
        <is>
          <t>건설업</t>
        </is>
      </c>
      <c r="C662" s="68" t="inlineStr">
        <is>
          <t>전문직별 공사업</t>
        </is>
      </c>
      <c r="D662" s="68" t="inlineStr">
        <is>
          <t>기타 시설물 축조 관련 전문공사업</t>
        </is>
      </c>
      <c r="E662" s="68" t="inlineStr">
        <is>
          <t>조적 및 석공사업</t>
        </is>
      </c>
      <c r="F662" s="68" t="inlineStr">
        <is>
          <t>◦전문직별 도급 건설업자가 구조물의 벽체나 기초 등을 시멘트 블록ㆍ벽돌 등의 재료를 모르타르 등의 교착제로 부착시키거나 장치하여 쌓거나 석재를 사용하여 시설물 등을 시공하는 공사를 수행하는 산업활동을 말한다.
&lt;예 시&gt;
·석조공사
·벽돌 구조재 설치공사
·벽돌 조적공사
·조립식 벽면 부착공사
·석재 조적공사
·콘크리트 블록 조적공사
·인도ㆍ광장 등 석재 포장공사
·판석 포장공사
·굴뚝 공사
&lt;제 외&gt;
·벽면에 타일 및 대리석 부착, 테라조 및 모자이크공사(452101)</t>
        </is>
      </c>
      <c r="G662" s="90" t="n">
        <v>92.8</v>
      </c>
      <c r="H662" s="90" t="n">
        <v>0</v>
      </c>
      <c r="I662" s="90" t="n">
        <v>13.3</v>
      </c>
    </row>
    <row r="663" ht="17.25" customHeight="1" s="66">
      <c r="A663" s="65" t="inlineStr">
        <is>
          <t>452115</t>
        </is>
      </c>
      <c r="B663" s="68" t="inlineStr">
        <is>
          <t>건설업</t>
        </is>
      </c>
      <c r="C663" s="68" t="inlineStr">
        <is>
          <t>전문직별 공사업</t>
        </is>
      </c>
      <c r="D663" s="68" t="inlineStr">
        <is>
          <t>건물설비 설치 공사업</t>
        </is>
      </c>
      <c r="E663" s="68" t="inlineStr">
        <is>
          <t>방음, 방진 및 내화 공사업</t>
        </is>
      </c>
      <c r="F663" s="68" t="inlineStr">
        <is>
          <t>◦전문직별 도급 건설업자가 건축물 축조와 관련하여 건물의 벽 및 천정 등에 방음, 방진 및 내화 물질을 주입 또는 설치하는 산업활동을 말한다.
&lt;예 시&gt;
·방열 및 방음공사
·방음 및 음향 조절공사
·방진 공사
&lt;제 외&gt;
·미장 및 방수공사(452101)
·난방 배관공사(452104)</t>
        </is>
      </c>
      <c r="G663" s="90" t="n">
        <v>92.8</v>
      </c>
      <c r="H663" s="90" t="n">
        <v>0</v>
      </c>
      <c r="I663" s="90" t="n">
        <v>20.5</v>
      </c>
    </row>
    <row r="664" ht="17.25" customHeight="1" s="66">
      <c r="A664" s="65" t="inlineStr">
        <is>
          <t>452116</t>
        </is>
      </c>
      <c r="B664" s="68" t="inlineStr">
        <is>
          <t>건설업</t>
        </is>
      </c>
      <c r="C664" s="68" t="inlineStr">
        <is>
          <t>전문직별 공사업</t>
        </is>
      </c>
      <c r="D664" s="68" t="inlineStr">
        <is>
          <t>건물설비 설치 공사업</t>
        </is>
      </c>
      <c r="E664" s="68" t="inlineStr">
        <is>
          <t>소방시설 공사업</t>
        </is>
      </c>
      <c r="F664" s="68" t="inlineStr">
        <is>
          <t>◦건축물 축조와 관련하여 소방시설을 설치하는 산업활동을 말한다. 옥외 소화전 설치공사를 포함한다.
&lt;예 시&gt;
·소화전 설치공사
·건물 및 구축물 소방시설 공사
·방화 셔터 설치공사
&lt;제 외&gt;
·소방시설 설계 및 감리(742103,742109,742106)
·일반 셔터 설치공사(452102)</t>
        </is>
      </c>
      <c r="G664" s="90" t="n">
        <v>92.8</v>
      </c>
      <c r="H664" s="90" t="n">
        <v>0</v>
      </c>
      <c r="I664" s="90" t="n">
        <v>14.7</v>
      </c>
    </row>
    <row r="665" ht="17.25" customHeight="1" s="66">
      <c r="A665" s="65" t="inlineStr">
        <is>
          <t>452117</t>
        </is>
      </c>
      <c r="B665" s="68" t="inlineStr">
        <is>
          <t>건설업</t>
        </is>
      </c>
      <c r="C665" s="68" t="inlineStr">
        <is>
          <t>전문직별 공사업</t>
        </is>
      </c>
      <c r="D665" s="68" t="inlineStr">
        <is>
          <t>건물 및 구축물 해체 공사업</t>
        </is>
      </c>
      <c r="E665" s="68" t="inlineStr">
        <is>
          <t>건물 및 구축물 해체 공사업</t>
        </is>
      </c>
      <c r="F665" s="68" t="inlineStr">
        <is>
          <t>◦계약에 의하여 도급 건설업자가 토목구축물 및 건물의 해체 또는 철거공사를 전문적으로 수행하는 산업활동을 말한다. 건축물의 해체과정에서 얻어지는 재활용 물질의 판매활동이 결합될 수 있다.
&lt;예 시&gt;
·건축물 해체관련 발파공사
·건축물 철거공사
·건축물 해체공사
·구축물 철거공사</t>
        </is>
      </c>
      <c r="G665" s="90" t="n">
        <v>92.5</v>
      </c>
      <c r="H665" s="90" t="n">
        <v>0</v>
      </c>
      <c r="I665" s="90" t="n">
        <v>18.1</v>
      </c>
    </row>
    <row r="666" ht="17.25" customHeight="1" s="66">
      <c r="A666" s="65" t="inlineStr">
        <is>
          <t>452118</t>
        </is>
      </c>
      <c r="B666" s="68" t="inlineStr">
        <is>
          <t>건설업</t>
        </is>
      </c>
      <c r="C666" s="68" t="inlineStr">
        <is>
          <t>전문직별 공사업</t>
        </is>
      </c>
      <c r="D666" s="68" t="inlineStr">
        <is>
          <t>철골, 철근 및 콘크리트 공사업</t>
        </is>
      </c>
      <c r="E666" s="68" t="inlineStr">
        <is>
          <t>철골 및 관련 구조물 공사업</t>
        </is>
      </c>
      <c r="F666" s="68" t="inlineStr">
        <is>
          <t>◦전문직별 건설업자가 건축물의 철골조 및 뼈대 등 관련 구조물을 설치하는 산업활동을 말한다.
&lt;예 시&gt;
·철골공사
·철골 용접공사
·철강 구조물 조립, 설치공사
·철제 수문 등 조립, 설치공사
·철탑, 철교 조립 및 설치공사
&lt;제 외&gt;
·토목공사와 병행하는 철탑, 철교 등 철구조물 조립·설치공사(451206)</t>
        </is>
      </c>
      <c r="G666" s="90" t="n">
        <v>92.5</v>
      </c>
      <c r="H666" s="90" t="n">
        <v>0</v>
      </c>
      <c r="I666" s="90" t="n">
        <v>14.3</v>
      </c>
    </row>
    <row r="667" ht="17.25" customHeight="1" s="66">
      <c r="A667" s="65" t="inlineStr">
        <is>
          <t>452119</t>
        </is>
      </c>
      <c r="B667" s="68" t="inlineStr">
        <is>
          <t>건설업</t>
        </is>
      </c>
      <c r="C667" s="68" t="inlineStr">
        <is>
          <t>전문직별 공사업</t>
        </is>
      </c>
      <c r="D667" s="68" t="inlineStr">
        <is>
          <t>철골, 철근 및 콘크리트 공사업</t>
        </is>
      </c>
      <c r="E667" s="68" t="inlineStr">
        <is>
          <t>콘크리트 및 철근 공사업</t>
        </is>
      </c>
      <c r="F667" s="68" t="inlineStr">
        <is>
          <t>◦전문직별 건설업자가 콘크리트공사, 철근공사 및 철근 콘크리트공사를 수행하는 산업활동을 말한다. 포장장비를 사용하지 않는 소규모 도로 콘크리트 포장공사를 포함한다.
&lt;예 시&gt;
·콘크리트공사
·철근콘크리트공사
·철근공사
·프리스트레스트 콘크리트공사(PSC)
·포장장비를 사용하지 않는 농로, 기계화 경작로, 마을 안길 등 콘크리트 포장공사
&lt;제 외&gt;
·축조 관련 기초공사와 결합된 콘크리트공사(452113)
·벽면, 바닥의 회반죽 공사 및 미장공사(452101)</t>
        </is>
      </c>
      <c r="G667" s="90" t="n">
        <v>92.5</v>
      </c>
      <c r="H667" s="90" t="n">
        <v>0</v>
      </c>
      <c r="I667" s="90" t="n">
        <v>15.6</v>
      </c>
    </row>
    <row r="668" ht="17.25" customHeight="1" s="66">
      <c r="A668" s="65" t="inlineStr">
        <is>
          <t>452120</t>
        </is>
      </c>
      <c r="B668" s="68" t="inlineStr">
        <is>
          <t>건설업</t>
        </is>
      </c>
      <c r="C668" s="68" t="inlineStr">
        <is>
          <t>전문직별 공사업</t>
        </is>
      </c>
      <c r="D668" s="68" t="inlineStr">
        <is>
          <t>기타 시설물 축조 관련 전문공사업</t>
        </is>
      </c>
      <c r="E668" s="68" t="inlineStr">
        <is>
          <t>비계 및 형틀 공사업</t>
        </is>
      </c>
      <c r="F668" s="68" t="inlineStr">
        <is>
          <t>◦전문직별 도급 건설업자가 수행하는 일반 비계공사, 발판 가설공사, 특수 중량물 설치공사, 콘크리트 형틀 설치공사, 기타 건축공사 보조물을 설치하는 산업활동을 말한다.
&lt;예 시&gt;
·콘크리트 형틀(거푸집) 설치공사
·발판 가설공사
·특수 중량물(특수 구조물, 탱크 등 대형 조립물) 설치 및 이전 공사
·건축공사 보조물 설치공사
&lt;제 외&gt;
·철근 콘크리트 공사와 결합 수행하는 형틀공사(452119)</t>
        </is>
      </c>
      <c r="G668" s="90" t="n">
        <v>92.5</v>
      </c>
      <c r="H668" s="90" t="n">
        <v>0</v>
      </c>
      <c r="I668" s="90" t="n">
        <v>17.1</v>
      </c>
    </row>
    <row r="669" ht="17.25" customHeight="1" s="66">
      <c r="A669" s="65" t="inlineStr">
        <is>
          <t>452121</t>
        </is>
      </c>
      <c r="B669" s="68" t="inlineStr">
        <is>
          <t>건설업</t>
        </is>
      </c>
      <c r="C669" s="68" t="inlineStr">
        <is>
          <t>전문직별 공사업</t>
        </is>
      </c>
      <c r="D669" s="68" t="inlineStr">
        <is>
          <t>기타 건축 마무리 공사업</t>
        </is>
      </c>
      <c r="E669" s="68" t="inlineStr">
        <is>
          <t>건물용 금속 공작물 설치 공사업</t>
        </is>
      </c>
      <c r="F669" s="68" t="inlineStr">
        <is>
          <t>◦전문직별 건설업자가 건축물을 완성 및 마무리하는 과정에서 각종 금속공작물을 설치하는 산업활동을 말한다.
&lt;예 시&gt;
·금속제 장식용 아치 설치공사
·장식용 금속 공작물 설치공사
·금속제 발코니 설치공사
·장식용 금속제 모형 설치공사
·금속제 차광막 설치공사
·철사다리, 철난간, 철계단 설치공사
&lt;제 외&gt;
·금속 구조재 제조업체가 설치하는 경우(281100,281103~281106)
·축조관련 울타리 설치 공사 및 철망공사(452201)</t>
        </is>
      </c>
      <c r="G669" s="90" t="n">
        <v>92.5</v>
      </c>
      <c r="H669" s="90" t="n">
        <v>0</v>
      </c>
      <c r="I669" s="90" t="n">
        <v>16.5</v>
      </c>
    </row>
    <row r="670" ht="17.25" customHeight="1" s="66">
      <c r="A670" s="65" t="inlineStr">
        <is>
          <t>452122</t>
        </is>
      </c>
      <c r="B670" s="68" t="inlineStr">
        <is>
          <t>건설업</t>
        </is>
      </c>
      <c r="C670" s="68" t="inlineStr">
        <is>
          <t>전문직별 공사업</t>
        </is>
      </c>
      <c r="D670" s="68" t="inlineStr">
        <is>
          <t>기타 시설물 축조 관련 전문공사업</t>
        </is>
      </c>
      <c r="E670" s="68" t="inlineStr">
        <is>
          <t>철도 궤도 전문공사업</t>
        </is>
      </c>
      <c r="F670" s="68" t="inlineStr">
        <is>
          <t>◦철도 및 지하철 건설에 관련된 철도 궤도의 부설공사를 전문적으로 수행하는 산업활동을 말한다.
&lt;예 시&gt;
·궤도공사, 궤도 용접공사
·선로 차단공사
·침목(목재, 콘크리트 침목) 설치공사
&lt;제 외&gt;
·철도 건설업체가 철도 궤도의 부설공사를 직접 수행하는 경우(451206)</t>
        </is>
      </c>
      <c r="G670" s="90" t="n">
        <v>91.09999999999999</v>
      </c>
      <c r="H670" s="90" t="n">
        <v>0</v>
      </c>
      <c r="I670" s="90" t="n">
        <v>16.9</v>
      </c>
    </row>
    <row r="671" ht="17.25" customHeight="1" s="66">
      <c r="A671" s="65" t="inlineStr">
        <is>
          <t>452123</t>
        </is>
      </c>
      <c r="B671" s="68" t="inlineStr">
        <is>
          <t>건설업</t>
        </is>
      </c>
      <c r="C671" s="68" t="inlineStr">
        <is>
          <t>전문직별 공사업</t>
        </is>
      </c>
      <c r="D671" s="68" t="inlineStr">
        <is>
          <t>기타 시설물 축조 관련 전문공사업</t>
        </is>
      </c>
      <c r="E671" s="68" t="inlineStr">
        <is>
          <t>지붕, 내ㆍ외벽 축조 관련 전문공사업</t>
        </is>
      </c>
      <c r="F671" s="68" t="inlineStr">
        <is>
          <t>◦지붕 및 판금 설치공사, 내벽․외벽․바닥 패널 조립공사, 천장․벽체․칸막이 공사를 전문적으로 수행하는 산업활동을 말한다.
&lt;예 시&gt;
·각종 재료제(기와, 슬레이트, 금속, 아스팔트, PVC 등)의 지붕공사
·지붕 단열, 장식 공사
·판금 설치 공사
·빗물받이 및 홈통 설치공사
&lt;제 외&gt;
·함석공사(배관공사 관련)(452104)
·지붕 잇기공사와 분리되어 수행되는 지붕 도장공사(452129)</t>
        </is>
      </c>
      <c r="G671" s="90" t="n">
        <v>91.09999999999999</v>
      </c>
      <c r="H671" s="90" t="n">
        <v>0</v>
      </c>
      <c r="I671" s="90" t="n">
        <v>14.5</v>
      </c>
    </row>
    <row r="672" ht="17.25" customHeight="1" s="66">
      <c r="A672" s="65" t="inlineStr">
        <is>
          <t>452124</t>
        </is>
      </c>
      <c r="B672" s="68" t="inlineStr">
        <is>
          <t>건설업</t>
        </is>
      </c>
      <c r="C672" s="68" t="inlineStr">
        <is>
          <t>전문직별 공사업</t>
        </is>
      </c>
      <c r="D672" s="68" t="inlineStr">
        <is>
          <t>건물설비 설치 공사업</t>
        </is>
      </c>
      <c r="E672" s="68" t="inlineStr">
        <is>
          <t>건물용 기계ㆍ장비 설치 공사업, 승강설비 설치 공사업</t>
        </is>
      </c>
      <c r="F672" s="68" t="inlineStr">
        <is>
          <t>◦전문직별 건설업자가 건물이나 구축물의 본래 기능 수행을 위해 결합 설치되는 각종 기계 설비 및 장치와 각종 승강설비 및 장치를 설치하는 산업활동을 말한다.
&lt;예 시&gt;
·물품 이동장치 설치공사
·식품 이동장치 설치공사
·집진기 설치공사
·회전식 문 설치공사
·엘리베이터, 리프트 및 에스컬레이터 설치공사
·자동 길(무빙워크) 설치공사
·기계식 주차 설비공사
·건물 기계설비 제어기기 설치공사
·지능형 제어시스템ㆍ자동 원격 검침설비 등 자동 제어공사
·시스템 에어컨(GHP, 가스엔진 냉·난방기) 설치 공사
·시스템 에어컨(EHP, 전기엔진 냉·난방기) 설치 공사
·피뢰침 등 낙뢰 방지설비 설치공사
&lt;제 외&gt;
·토목공사 성격의 산업 설비공사(451300)
·건물 내 배관 공사(452104)
·건축물 관련 전기 공사(452126) 및 통신장비 설치공사(452128)
·창호 설치공사(452102)</t>
        </is>
      </c>
      <c r="G672" s="90" t="n">
        <v>91.2</v>
      </c>
      <c r="H672" s="90" t="n">
        <v>0</v>
      </c>
      <c r="I672" s="90" t="n">
        <v>15.7</v>
      </c>
    </row>
    <row r="673" ht="17.25" customHeight="1" s="66">
      <c r="A673" s="65" t="inlineStr">
        <is>
          <t>452125</t>
        </is>
      </c>
      <c r="B673" s="68" t="inlineStr">
        <is>
          <t>건설업</t>
        </is>
      </c>
      <c r="C673" s="68" t="inlineStr">
        <is>
          <t>전문직별 공사업</t>
        </is>
      </c>
      <c r="D673" s="68" t="inlineStr">
        <is>
          <t>전기 공사업</t>
        </is>
      </c>
      <c r="E673" s="68" t="inlineStr">
        <is>
          <t>일반 전기 공사업</t>
        </is>
      </c>
      <c r="F673" s="68" t="inlineStr">
        <is>
          <t>◦송◦배전 설비공사, 송◦배전선 설치공사 등과 같은 전기 관련 토목공사 성격의 공사를 수행하는 산업활동을 말한다. 전기 설비공사와 관련한 구조물 건설활동도 포함한다.
&lt;예 시&gt;
·송전 및 배전선 케이블공사
·가로 조명 시설공사
·교통 통제용 전기 시설공사
·송·배전탑 공사</t>
        </is>
      </c>
      <c r="G673" s="90" t="n">
        <v>91.2</v>
      </c>
      <c r="H673" s="90" t="n">
        <v>0</v>
      </c>
      <c r="I673" s="90" t="n">
        <v>13.4</v>
      </c>
    </row>
    <row r="674" ht="17.25" customHeight="1" s="66">
      <c r="A674" s="65" t="inlineStr">
        <is>
          <t>452126</t>
        </is>
      </c>
      <c r="B674" s="68" t="inlineStr">
        <is>
          <t>건설업</t>
        </is>
      </c>
      <c r="C674" s="68" t="inlineStr">
        <is>
          <t>전문직별 공사업</t>
        </is>
      </c>
      <c r="D674" s="68" t="inlineStr">
        <is>
          <t>전기 공사업</t>
        </is>
      </c>
      <c r="E674" s="68" t="inlineStr">
        <is>
          <t>내부 전기배선 공사업</t>
        </is>
      </c>
      <c r="F674" s="68" t="inlineStr">
        <is>
          <t>◦건축물 내부의 전기 배선공사를 전문적으로 수행하는 산업활동을 말한다.
&lt;예 시&gt;
·건물 전기 배선공사
·도난 방지용 전기 설비공사
·지능형 빌딩시스템(IBS) 전기설비 제어 및 감시 공사
·에너지관리시스템(EMS) 전기설비 제어 및 감시 공사</t>
        </is>
      </c>
      <c r="G674" s="90" t="n">
        <v>91.2</v>
      </c>
      <c r="H674" s="90" t="n">
        <v>0</v>
      </c>
      <c r="I674" s="90" t="n">
        <v>12.9</v>
      </c>
    </row>
    <row r="675" ht="17.25" customHeight="1" s="66">
      <c r="A675" s="65" t="inlineStr">
        <is>
          <t>452127</t>
        </is>
      </c>
      <c r="B675" s="68" t="inlineStr">
        <is>
          <t>건설업</t>
        </is>
      </c>
      <c r="C675" s="68" t="inlineStr">
        <is>
          <t>전문직별 공사업</t>
        </is>
      </c>
      <c r="D675" s="68" t="inlineStr">
        <is>
          <t>통신 공사업</t>
        </is>
      </c>
      <c r="E675" s="68" t="inlineStr">
        <is>
          <t>일반 통신 공사업</t>
        </is>
      </c>
      <c r="F675" s="68" t="inlineStr">
        <is>
          <t>◦통신 케이블 공사 및 통신선 관련 구조물 설치 등 토목공사의 성격을 가지는 통신공사를 수행하는 산업활동을 말한다.
&lt;예 시&gt;
·통신 케이블공사
·통신탑 설치공사
·해저 통신 케이블공사</t>
        </is>
      </c>
      <c r="G675" s="90" t="n">
        <v>91.2</v>
      </c>
      <c r="H675" s="90" t="n">
        <v>0</v>
      </c>
      <c r="I675" s="90" t="n">
        <v>19.7</v>
      </c>
    </row>
    <row r="676" ht="17.25" customHeight="1" s="66">
      <c r="A676" s="65" t="inlineStr">
        <is>
          <t>452128</t>
        </is>
      </c>
      <c r="B676" s="68" t="inlineStr">
        <is>
          <t>건설업</t>
        </is>
      </c>
      <c r="C676" s="68" t="inlineStr">
        <is>
          <t>전문직별 공사업</t>
        </is>
      </c>
      <c r="D676" s="68" t="inlineStr">
        <is>
          <t>통신 공사업</t>
        </is>
      </c>
      <c r="E676" s="68" t="inlineStr">
        <is>
          <t>내부 통신배선 공사업</t>
        </is>
      </c>
      <c r="F676" s="68" t="inlineStr">
        <is>
          <t>◦건축물 내부의 통신배선 공사를 전문적으로 수행하는 산업활동을 말한다.
&lt;예 시&gt;
·구내 정보통신(LAN) 공사
·케이블 TV 접속공사
·경보조직 관련 통신배선 설치공사
·지능형 빌딩시스템(IBS) 통신설비 제어 및 감시 공사
·원격자동검침(AMR) 통신설비 공사</t>
        </is>
      </c>
      <c r="G676" s="90" t="n">
        <v>91.2</v>
      </c>
      <c r="H676" s="90" t="n">
        <v>0</v>
      </c>
      <c r="I676" s="90" t="n">
        <v>17.7</v>
      </c>
    </row>
    <row r="677" ht="17.25" customHeight="1" s="66">
      <c r="A677" s="65" t="inlineStr">
        <is>
          <t>452129</t>
        </is>
      </c>
      <c r="B677" s="68" t="inlineStr">
        <is>
          <t>건설업</t>
        </is>
      </c>
      <c r="C677" s="68" t="inlineStr">
        <is>
          <t>전문직별 공사업</t>
        </is>
      </c>
      <c r="D677" s="68" t="inlineStr">
        <is>
          <t>도장, 도배 및 내장 공사업</t>
        </is>
      </c>
      <c r="E677" s="68" t="inlineStr">
        <is>
          <t>도장 공사업</t>
        </is>
      </c>
      <c r="F677" s="68" t="inlineStr">
        <is>
          <t>◦전문직별 건설업자가 건물, 구축물 및 구조물 등의 도장공사를 수행하는 산업활동을 말한다.
&lt;예 시&gt;
·선박 도장공사
·건물 내·외부 도장공사
·교량 및 기타 구축물 도장공사
·도로선 표시 도장(도로 건설활동과 분리된)공사
·부식 방지용 도장공사
&lt;제 외&gt;
·도로선 표시 도장(도로포장 활동과 결합된)공사(452108)
·프레스코공사(452101)</t>
        </is>
      </c>
      <c r="G677" s="90" t="n">
        <v>88.7</v>
      </c>
      <c r="H677" s="90" t="n">
        <v>0</v>
      </c>
      <c r="I677" s="90" t="n">
        <v>15.2</v>
      </c>
    </row>
    <row r="678" ht="17.25" customHeight="1" s="66">
      <c r="A678" s="65" t="inlineStr">
        <is>
          <t>452130</t>
        </is>
      </c>
      <c r="B678" s="68" t="inlineStr">
        <is>
          <t>건설업</t>
        </is>
      </c>
      <c r="C678" s="68" t="inlineStr">
        <is>
          <t>전문직별 공사업</t>
        </is>
      </c>
      <c r="D678" s="68" t="inlineStr">
        <is>
          <t>기반조성 관련 전문공사업</t>
        </is>
      </c>
      <c r="E678" s="68" t="inlineStr">
        <is>
          <t>기타 기반조성 관련 전문공사업</t>
        </is>
      </c>
      <c r="F678" s="68" t="inlineStr">
        <is>
          <t>◦토공사, 보링 및 그라우팅 공사, 파일공사 이외의 기타 기반조성과 관련된 전문공사를 수행하는 산업활동을 말한다.
◦하천준설공사
 ·선박의 입출항을 위해 하천을 준설하는 공사</t>
        </is>
      </c>
      <c r="G678" s="90" t="n">
        <v>91.40000000000001</v>
      </c>
      <c r="H678" s="90" t="n">
        <v>0</v>
      </c>
      <c r="I678" s="90" t="n">
        <v>20</v>
      </c>
    </row>
    <row r="679" ht="17.25" customHeight="1" s="66">
      <c r="A679" s="65" t="inlineStr">
        <is>
          <t>452131</t>
        </is>
      </c>
      <c r="B679" s="68" t="inlineStr">
        <is>
          <t>건설업</t>
        </is>
      </c>
      <c r="C679" s="68" t="inlineStr">
        <is>
          <t>전문직별 공사업</t>
        </is>
      </c>
      <c r="D679" s="68" t="inlineStr">
        <is>
          <t>기타 시설물 축조 관련 전문공사업</t>
        </is>
      </c>
      <c r="E679" s="68" t="inlineStr">
        <is>
          <t>기타 옥외 시설물 축조관련 전문공사업</t>
        </is>
      </c>
      <c r="F679" s="68" t="inlineStr">
        <is>
          <t>◦건축물 공사와 관계없이 독립적으로 조성되는 조경 시설물 설치공사, 삭도공사, 옥외 안전․경계․방호․방음 시설물 축조와 관련한 공사를 전문적으로 수행하는 산업활동을 말한다.
&lt;예 시&gt;
·조경 시설물(조경석, 인조목, 인조암, 야외 의자, 놀이기구, 운동기구, 분수대, 퍼걸러, 인조 잔디 등) 설치공사
·삭도(케이블카, 리프트 등) 공사
·가드레일, 표지판, 방호 울타리, 낙석 방지망·낙석 방지책, 방음벽, 방음 터널, 교량 안전 점검시설, 버스 승강대, 도로 교통안전 시설물, 옥외 광고탑 등의 금속 구조물 설치 공사
·철도기계 신호공사, 건널목 차단기 공사
&lt;제 외&gt;
·함석공사(배관공사 관련)(452104)
·지붕 잇기 공사와 분리되어 수행되는 지붕 도장공사(452129)
·철골, 철강재 구조물 설치공사(452118)</t>
        </is>
      </c>
      <c r="G679" s="90" t="n">
        <v>90.7</v>
      </c>
      <c r="H679" s="90" t="n">
        <v>0</v>
      </c>
      <c r="I679" s="90" t="n">
        <v>14.5</v>
      </c>
    </row>
    <row r="680" ht="17.25" customHeight="1" s="66">
      <c r="A680" s="65" t="inlineStr">
        <is>
          <t>452132</t>
        </is>
      </c>
      <c r="B680" s="68" t="inlineStr">
        <is>
          <t>건설업</t>
        </is>
      </c>
      <c r="C680" s="68" t="inlineStr">
        <is>
          <t>전문직별 공사업</t>
        </is>
      </c>
      <c r="D680" s="68" t="inlineStr">
        <is>
          <t>건물설비 설치 공사업</t>
        </is>
      </c>
      <c r="E680" s="68" t="inlineStr">
        <is>
          <t>배관 및 냉ㆍ난방 공사업</t>
        </is>
      </c>
      <c r="F680" s="68" t="inlineStr">
        <is>
          <t>◦상하수도 설비공사
&lt;예 시&gt;
·취수기기 설치공사, 정수기기 설치공사, 송배수기설치공사, 하수처리기기 설비공사, 상하수도 등 용수관부설공사(옥내급배수설비공사 제외) 각종 변류이형관 설치공사 등</t>
        </is>
      </c>
      <c r="G680" s="90" t="n">
        <v>90.7</v>
      </c>
      <c r="H680" s="90" t="n">
        <v>0</v>
      </c>
      <c r="I680" s="90" t="n">
        <v>14.9</v>
      </c>
    </row>
    <row r="681" ht="17.25" customHeight="1" s="66">
      <c r="A681" s="65" t="inlineStr">
        <is>
          <t>452200</t>
        </is>
      </c>
      <c r="B681" s="68" t="inlineStr">
        <is>
          <t>건설업</t>
        </is>
      </c>
      <c r="C681" s="68" t="inlineStr">
        <is>
          <t>전문직별 공사업</t>
        </is>
      </c>
      <c r="D681" s="68" t="inlineStr">
        <is>
          <t>기타 건축 마무리 공사업</t>
        </is>
      </c>
      <c r="E681" s="68" t="inlineStr">
        <is>
          <t>그 외 기타 건축 마무리 공사업</t>
        </is>
      </c>
      <c r="F681" s="68" t="inlineStr">
        <is>
          <t>◦전문직별 도급건설업자가 수행하는 달리 분류되지 않은 건축 마무리 공사를 수행하는 산업활동을 말한다.
&lt;예 시&gt;
·건축물 외부 증기청소 공사
·바닥 정리 및 청소 공사
·비금속제 건물부착 공작물(차광발, 커튼고리, 커튼 등) 설치공사</t>
        </is>
      </c>
      <c r="G681" s="90" t="n">
        <v>93.40000000000001</v>
      </c>
      <c r="H681" s="90" t="n">
        <v>0</v>
      </c>
      <c r="I681" s="90" t="n">
        <v>15.4</v>
      </c>
    </row>
    <row r="682" ht="17.25" customHeight="1" s="66">
      <c r="A682" s="65" t="inlineStr">
        <is>
          <t>452201</t>
        </is>
      </c>
      <c r="B682" s="68" t="inlineStr">
        <is>
          <t>건설업</t>
        </is>
      </c>
      <c r="C682" s="68" t="inlineStr">
        <is>
          <t>전문직별 공사업</t>
        </is>
      </c>
      <c r="D682" s="68" t="inlineStr">
        <is>
          <t>건물설비 설치 공사업</t>
        </is>
      </c>
      <c r="E682" s="68" t="inlineStr">
        <is>
          <t>기타 건물 관련설비 설치 공사업</t>
        </is>
      </c>
      <c r="F682" s="68" t="inlineStr">
        <is>
          <t>◦전문직별 건설업자에 의하여 수행되며 달리 분류되지 않은 건물 및 구조물 관련 부지 내 각종 설비를 설치하는 산업활동을 말한다.
&lt;예 시&gt;
·울타리(펜스, fence), 게양대 설치공사
·철망 설치공사
·옥외 모형 장식물 설치공사
·풀장 설치공사
·보도블록 깔기 공사(건축물 구내)
&lt;제 외&gt;
·함석공사(배관공사 관련)(452104)
·지붕 잇기공사와 분리되어 수행되는 지붕 도장공사(452129)
·철골, 철강재 구조물 설치공사(452118)
·실외 수영경기장 건설업(451200)</t>
        </is>
      </c>
      <c r="G682" s="90" t="n">
        <v>93.40000000000001</v>
      </c>
      <c r="H682" s="90" t="n">
        <v>0</v>
      </c>
      <c r="I682" s="90" t="n">
        <v>15.5</v>
      </c>
    </row>
    <row r="683" ht="17.25" customHeight="1" s="66">
      <c r="A683" s="65" t="inlineStr">
        <is>
          <t>453000</t>
        </is>
      </c>
      <c r="B683" s="68" t="inlineStr">
        <is>
          <t>건설업</t>
        </is>
      </c>
      <c r="C683" s="68" t="inlineStr">
        <is>
          <t>전문직별 공사업</t>
        </is>
      </c>
      <c r="D683" s="68" t="inlineStr">
        <is>
          <t>건설장비 운영업</t>
        </is>
      </c>
      <c r="E683" s="68" t="inlineStr">
        <is>
          <t>건설장비 운영업</t>
        </is>
      </c>
      <c r="F683" s="68" t="inlineStr">
        <is>
          <t>◦수수료 또는 계약에 의하여 개인 또는 다른 건설업자(종합, 전문, 자영)의 요구에 따라 각종 건설용 기계 및 장비를 운전자와 함께 제공하는 산업활동을 말한다. 도급 건설업자가 직접 도급건설 계약을 체결하고, 자기 소유의 기계장비로 계약공사를 수행할 경우에는 그 계약 건설 내용에 따라 적합한 항목에 각각 분류한다.
&lt;예 시&gt;
·건설용 기계장비 운영업
&lt;제 외&gt;
·운전자 없는 건설장비용 기계장비 임대(712202)</t>
        </is>
      </c>
      <c r="G683" s="90" t="n">
        <v>89.7</v>
      </c>
      <c r="H683" s="90" t="n">
        <v>0</v>
      </c>
      <c r="I683" s="90" t="n">
        <v>22</v>
      </c>
    </row>
    <row r="684" ht="17.25" customHeight="1" s="66">
      <c r="A684" s="65" t="inlineStr">
        <is>
          <t>501101</t>
        </is>
      </c>
      <c r="B684" s="68" t="inlineStr">
        <is>
          <t>도매 및 소매업</t>
        </is>
      </c>
      <c r="C684" s="68" t="inlineStr">
        <is>
          <t>자동차 및 부품 판매업</t>
        </is>
      </c>
      <c r="D684" s="68" t="inlineStr">
        <is>
          <t>자동차 신품 판매업</t>
        </is>
      </c>
      <c r="E684" s="68" t="inlineStr">
        <is>
          <t>자동차 신품 판매업</t>
        </is>
      </c>
      <c r="F684" s="68" t="inlineStr">
        <is>
          <t xml:space="preserve">◦신품의 각종 자동차를 도매하는 산업활동을 말한다.
&lt;예 시&gt;
·각종 승용차 도매
·각종 화물 차량 도매
·트레일러 도매
·농·공업용 경자동차 도매
·응급 구급차(앰뷸런스) 도매
·특수 승용 자동차 도매 
·특장차 도매
·설상용 차량, 골프용 차량 도매
&lt;제 외&gt;
*신품의 각종 자동차 소매(→501201)
*수수료 및 계약에 의한 자동차 판매에 관련하여 판매자와 구매자간의 중개를 하며 매매 알선(→501301)
*신품자동차 판매대리(→501302) </t>
        </is>
      </c>
      <c r="G684" s="90" t="n">
        <v>91.3</v>
      </c>
      <c r="H684" s="90" t="n">
        <v>0</v>
      </c>
      <c r="I684" s="90" t="n">
        <v>8.6</v>
      </c>
    </row>
    <row r="685" ht="17.25" customHeight="1" s="66">
      <c r="A685" s="65" t="inlineStr">
        <is>
          <t>501103</t>
        </is>
      </c>
      <c r="B685" s="68" t="inlineStr">
        <is>
          <t>도매 및 소매업</t>
        </is>
      </c>
      <c r="C685" s="68" t="inlineStr">
        <is>
          <t>자동차 및 부품 판매업</t>
        </is>
      </c>
      <c r="D685" s="68" t="inlineStr">
        <is>
          <t>중고 자동차 판매업</t>
        </is>
      </c>
      <c r="E685" s="68" t="inlineStr">
        <is>
          <t>중고 자동차 판매업</t>
        </is>
      </c>
      <c r="F685" s="68" t="inlineStr">
        <is>
          <t>◦각종 중고 자동차를 도매하는 산업활동을 말한다.
&lt;예 시&gt;
·중고 화물차 도매
·중고 버스 및 트럭 도매
·중고 승용차 도매
·설상용차량(중고) 도매
&lt;제 외&gt;
*각종 중고 자동차 소매(→501202)
*중고자동차 판매대리(→501303)</t>
        </is>
      </c>
      <c r="G685" s="90" t="n">
        <v>91.3</v>
      </c>
      <c r="H685" s="90" t="n">
        <v>0</v>
      </c>
      <c r="I685" s="90" t="n">
        <v>2.8</v>
      </c>
    </row>
    <row r="686" ht="17.25" customHeight="1" s="66">
      <c r="A686" s="65" t="inlineStr">
        <is>
          <t>501201</t>
        </is>
      </c>
      <c r="B686" s="68" t="inlineStr">
        <is>
          <t>도매 및 소매업</t>
        </is>
      </c>
      <c r="C686" s="68" t="inlineStr">
        <is>
          <t>자동차 및 부품 판매업</t>
        </is>
      </c>
      <c r="D686" s="68" t="inlineStr">
        <is>
          <t>자동차 신품 판매업</t>
        </is>
      </c>
      <c r="E686" s="68" t="inlineStr">
        <is>
          <t>자동차 신품 판매업</t>
        </is>
      </c>
      <c r="F686" s="68" t="inlineStr">
        <is>
          <t xml:space="preserve">◦신품의 각종 자동차를 소매하는 산업활동을 말한다.
&lt;예 시&gt;
·각종 승용차 소매
·각종 화물 차량 소매
·트레일러 소매
·농·공업용 경자동차 소매
·응급 구급차(앰뷸런스) 소매
·특수 승용 자동차 소매
·특장차 소매
·설상용 차량, 골프용 차량 소매
&lt;제 외&gt;
*신품의 각종 자동차 도매(→501101)
*수수료 및 계약에 의한 자동차 판매에 관련하여 판매자와 구매자간의 중개를 하며 매매 알선(→501301)
*신품자동차 판매대리(→501302) </t>
        </is>
      </c>
      <c r="G686" s="90" t="n">
        <v>92.2</v>
      </c>
      <c r="H686" s="90" t="n">
        <v>0</v>
      </c>
      <c r="I686" s="90" t="n">
        <v>3.8</v>
      </c>
    </row>
    <row r="687" ht="17.25" customHeight="1" s="66">
      <c r="A687" s="65" t="inlineStr">
        <is>
          <t>501202</t>
        </is>
      </c>
      <c r="B687" s="68" t="inlineStr">
        <is>
          <t>도매 및 소매업</t>
        </is>
      </c>
      <c r="C687" s="68" t="inlineStr">
        <is>
          <t>자동차 및 부품 판매업</t>
        </is>
      </c>
      <c r="D687" s="68" t="inlineStr">
        <is>
          <t>중고 자동차 판매업</t>
        </is>
      </c>
      <c r="E687" s="68" t="inlineStr">
        <is>
          <t>중고 자동차 판매업</t>
        </is>
      </c>
      <c r="F687" s="68" t="inlineStr">
        <is>
          <t>◦각종 중고 자동차를 소매하는 산업활동을 말한다.
&lt;예 시&gt;
·중고 화물차 소매
·중고 버스 및 트럭 소매
·중고 승용차 소매
·설상용차량(중고) 소매
&lt;제 외&gt;
*각종 중고 자동차 도매(→501103)
*중고자동차 판매대리(→501303)</t>
        </is>
      </c>
      <c r="G687" s="90" t="n">
        <v>91.8</v>
      </c>
      <c r="H687" s="90" t="n">
        <v>0</v>
      </c>
      <c r="I687" s="90" t="n">
        <v>1.9</v>
      </c>
    </row>
    <row r="688" ht="17.25" customHeight="1" s="66">
      <c r="A688" s="65" t="inlineStr">
        <is>
          <t>501301</t>
        </is>
      </c>
      <c r="B688" s="68" t="inlineStr">
        <is>
          <t>도매 및 소매업</t>
        </is>
      </c>
      <c r="C688" s="68" t="inlineStr">
        <is>
          <t>자동차 및 부품 판매업</t>
        </is>
      </c>
      <c r="D688" s="68" t="inlineStr">
        <is>
          <t>자동차 신품 판매업</t>
        </is>
      </c>
      <c r="E688" s="68" t="inlineStr">
        <is>
          <t>자동차 신품 판매업</t>
        </is>
      </c>
      <c r="F688" s="68" t="inlineStr">
        <is>
          <t>◦수수료 및 계약에 의한 자동차 판매에 관련하여 판매자와 구매자간의 중개를 하며 매매를 알선하는 업</t>
        </is>
      </c>
      <c r="G688" s="90" t="n">
        <v>80.7</v>
      </c>
      <c r="H688" s="90" t="n">
        <v>0</v>
      </c>
      <c r="I688" s="90" t="n">
        <v>27.5</v>
      </c>
    </row>
    <row r="689" ht="17.25" customHeight="1" s="66">
      <c r="A689" s="65" t="inlineStr">
        <is>
          <t>501302</t>
        </is>
      </c>
      <c r="B689" s="68" t="inlineStr">
        <is>
          <t>도매 및 소매업</t>
        </is>
      </c>
      <c r="C689" s="68" t="inlineStr">
        <is>
          <t>자동차 및 부품 판매업</t>
        </is>
      </c>
      <c r="D689" s="68" t="inlineStr">
        <is>
          <t>자동차 신품 판매업</t>
        </is>
      </c>
      <c r="E689" s="68" t="inlineStr">
        <is>
          <t>자동차 신품 판매업</t>
        </is>
      </c>
      <c r="F689" s="68" t="inlineStr">
        <is>
          <t>◦신품자동차 판매대리</t>
        </is>
      </c>
      <c r="G689" s="90" t="n">
        <v>80.90000000000001</v>
      </c>
      <c r="H689" s="90" t="n">
        <v>0</v>
      </c>
      <c r="I689" s="90" t="n">
        <v>30.4</v>
      </c>
    </row>
    <row r="690" ht="17.25" customHeight="1" s="66">
      <c r="A690" s="65" t="inlineStr">
        <is>
          <t>501303</t>
        </is>
      </c>
      <c r="B690" s="68" t="inlineStr">
        <is>
          <t>도매 및 소매업</t>
        </is>
      </c>
      <c r="C690" s="68" t="inlineStr">
        <is>
          <t>자동차 및 부품 판매업</t>
        </is>
      </c>
      <c r="D690" s="68" t="inlineStr">
        <is>
          <t>중고 자동차 판매업</t>
        </is>
      </c>
      <c r="E690" s="68" t="inlineStr">
        <is>
          <t>중고 자동차 판매업</t>
        </is>
      </c>
      <c r="F690" s="68" t="inlineStr">
        <is>
          <t>◦중고자동차 판매대리
&lt;예 시&gt;
·중고자동차중개, 중고자동차매매상사</t>
        </is>
      </c>
      <c r="G690" s="90" t="n">
        <v>83.40000000000001</v>
      </c>
      <c r="H690" s="90" t="n">
        <v>0</v>
      </c>
      <c r="I690" s="90" t="n">
        <v>15.2</v>
      </c>
    </row>
    <row r="691" ht="17.25" customHeight="1" s="66">
      <c r="A691" s="65" t="inlineStr">
        <is>
          <t>503001</t>
        </is>
      </c>
      <c r="B691" s="68" t="inlineStr">
        <is>
          <t>도매 및 소매업</t>
        </is>
      </c>
      <c r="C691" s="68" t="inlineStr">
        <is>
          <t>자동차 및 부품 판매업</t>
        </is>
      </c>
      <c r="D691" s="68" t="inlineStr">
        <is>
          <t>자동차 신품 부품 및 내장품 판매업</t>
        </is>
      </c>
      <c r="E691" s="68" t="inlineStr">
        <is>
          <t>자동차 신품 타이어 및 튜브 판매업</t>
        </is>
      </c>
      <c r="F691" s="68" t="inlineStr">
        <is>
          <t>◦자동차용 신품 타이어 및 튜브를 도매하는 산업활동을 말한다.
&lt;예 시&gt;
·차량용 타이어 도매
·차량용 튜브 도매
&lt;제 외&gt;
*자동차용 신품 타이어 및 튜브 소매(→503002)</t>
        </is>
      </c>
      <c r="G691" s="90" t="n">
        <v>93.90000000000001</v>
      </c>
      <c r="H691" s="90" t="n">
        <v>0</v>
      </c>
      <c r="I691" s="90" t="n">
        <v>4.5</v>
      </c>
    </row>
    <row r="692" ht="17.25" customHeight="1" s="66">
      <c r="A692" s="65" t="inlineStr">
        <is>
          <t>503002</t>
        </is>
      </c>
      <c r="B692" s="68" t="inlineStr">
        <is>
          <t>도매 및 소매업</t>
        </is>
      </c>
      <c r="C692" s="68" t="inlineStr">
        <is>
          <t>자동차 및 부품 판매업</t>
        </is>
      </c>
      <c r="D692" s="68" t="inlineStr">
        <is>
          <t>자동차 신품 부품 및 내장품 판매업</t>
        </is>
      </c>
      <c r="E692" s="68" t="inlineStr">
        <is>
          <t>자동차 신품 타이어 및 튜브 판매업</t>
        </is>
      </c>
      <c r="F692" s="68" t="inlineStr">
        <is>
          <t>◦자동차용 신품 타이어 및 튜브를 소매하는 산업활동을 말한다.
&lt;예 시&gt;
·차량용 타이어 소매
·차량용 튜브 소매
&lt;제 외&gt;
*자동차용 신품 타이어 및 튜브 도매(→503001)</t>
        </is>
      </c>
      <c r="G692" s="90" t="n">
        <v>90.3</v>
      </c>
      <c r="H692" s="90" t="n">
        <v>0</v>
      </c>
      <c r="I692" s="90" t="n">
        <v>5.4</v>
      </c>
    </row>
    <row r="693" ht="17.25" customHeight="1" s="66">
      <c r="A693" s="65" t="inlineStr">
        <is>
          <t>503003</t>
        </is>
      </c>
      <c r="B693" s="68" t="inlineStr">
        <is>
          <t>도매 및 소매업</t>
        </is>
      </c>
      <c r="C693" s="68" t="inlineStr">
        <is>
          <t>자동차 및 부품 판매업</t>
        </is>
      </c>
      <c r="D693" s="68" t="inlineStr">
        <is>
          <t>자동차 중고 부품 및 내장품 판매업</t>
        </is>
      </c>
      <c r="E693" s="68" t="inlineStr">
        <is>
          <t>자동차 중고 부품 및 내장품 판매업</t>
        </is>
      </c>
      <c r="F693" s="68" t="inlineStr">
        <is>
          <t>◦자동차용 각종 중고 부품 및 내장품을 도매하는 산업활동을 말한다.
&lt;예 시&gt;
·카인테리어 중고 부품 도매
·차량용 중고 축전지(배터리) 도매
·차량용 중고 에어컨 도매
·차량용 중고 타이어 및 튜브 도매
&lt;제 외&gt;
*자동차용 각종 중고 부품 및 내장품 소매(→503004)</t>
        </is>
      </c>
      <c r="G693" s="90" t="n">
        <v>91.2</v>
      </c>
      <c r="H693" s="90" t="n">
        <v>0</v>
      </c>
      <c r="I693" s="90" t="n">
        <v>4.3</v>
      </c>
    </row>
    <row r="694" ht="17.25" customHeight="1" s="66">
      <c r="A694" s="65" t="inlineStr">
        <is>
          <t>503004</t>
        </is>
      </c>
      <c r="B694" s="68" t="inlineStr">
        <is>
          <t>도매 및 소매업</t>
        </is>
      </c>
      <c r="C694" s="68" t="inlineStr">
        <is>
          <t>자동차 및 부품 판매업</t>
        </is>
      </c>
      <c r="D694" s="68" t="inlineStr">
        <is>
          <t>자동차 중고 부품 및 내장품 판매업</t>
        </is>
      </c>
      <c r="E694" s="68" t="inlineStr">
        <is>
          <t>자동차 중고 부품 및 내장품 판매업</t>
        </is>
      </c>
      <c r="F694" s="68" t="inlineStr">
        <is>
          <t>◦자동차용 각종 중고 부품 및 내장품을 소매하는 산업활동을 말한다.
&lt;예 시&gt;
·카인테리어 중고 부품 소매
·차량용 중고 축전지(배터리) 소매
·차량용 중고 에어컨 소매
·차량용 중고 타이어 및 튜브 소매
&lt;제 외&gt;
*자동차용 각종 중고 부품 및 내장품 도매(→503003)</t>
        </is>
      </c>
      <c r="G694" s="90" t="n">
        <v>86.5</v>
      </c>
      <c r="H694" s="90" t="n">
        <v>0</v>
      </c>
      <c r="I694" s="90" t="n">
        <v>6.5</v>
      </c>
    </row>
    <row r="695" ht="17.25" customHeight="1" s="66">
      <c r="A695" s="65" t="inlineStr">
        <is>
          <t>503005</t>
        </is>
      </c>
      <c r="B695" s="68" t="inlineStr">
        <is>
          <t>도매 및 소매업</t>
        </is>
      </c>
      <c r="C695" s="68" t="inlineStr">
        <is>
          <t>자동차 및 부품 판매업</t>
        </is>
      </c>
      <c r="D695" s="68" t="inlineStr">
        <is>
          <t>자동차 신품 부품 및 내장품 판매업</t>
        </is>
      </c>
      <c r="E695" s="68" t="inlineStr">
        <is>
          <t>기타 자동차 신품 부품 및 내장품 판매업</t>
        </is>
      </c>
      <c r="F695" s="68" t="inlineStr">
        <is>
          <t>◦카인테리어
&lt;예 시&gt;
·자동차 액세서리
·자동차 인테리어용품</t>
        </is>
      </c>
      <c r="G695" s="90" t="n">
        <v>84.59999999999999</v>
      </c>
      <c r="H695" s="90" t="n">
        <v>0</v>
      </c>
      <c r="I695" s="90" t="n">
        <v>6.7</v>
      </c>
    </row>
    <row r="696" ht="17.25" customHeight="1" s="66">
      <c r="A696" s="65" t="inlineStr">
        <is>
          <t>503006</t>
        </is>
      </c>
      <c r="B696" s="68" t="inlineStr">
        <is>
          <t>도매 및 소매업</t>
        </is>
      </c>
      <c r="C696" s="68" t="inlineStr">
        <is>
          <t>자동차 및 부품 판매업</t>
        </is>
      </c>
      <c r="D696" s="68" t="inlineStr">
        <is>
          <t>자동차 신품 부품 및 내장품 판매업</t>
        </is>
      </c>
      <c r="E696" s="68" t="inlineStr">
        <is>
          <t>자동차용 전용 신품 부품 판매업</t>
        </is>
      </c>
      <c r="F696" s="68" t="inlineStr">
        <is>
          <t>◦자동차 엔진◦차체◦동력 전달장치◦전기장치 및 그 외 전용 신품 부품을 도매하는 산업활동을 말한다.
&lt;예 시&gt;
·자동차 엔진용 부품 도매
·자동차 차체용 부품 도매
·자동차 동력 전달장치용 부품 도매
·자동차 전기장치용 전용 부품(점화, 배선장치 등) 도매
·자동차 조향장치 부품 도매
·자동차 현가장치 부품 도매
&lt;제 외&gt;
*자동차 엔진◦차체◦동력 전달장치◦전기장치 및 그 외 전용 신품 부품 소매(→503009)</t>
        </is>
      </c>
      <c r="G696" s="90" t="n">
        <v>91.2</v>
      </c>
      <c r="H696" s="90" t="n">
        <v>0</v>
      </c>
      <c r="I696" s="90" t="n">
        <v>4.5</v>
      </c>
    </row>
    <row r="697" ht="17.25" customHeight="1" s="66">
      <c r="A697" s="65" t="inlineStr">
        <is>
          <t>503007</t>
        </is>
      </c>
      <c r="B697" s="68" t="inlineStr">
        <is>
          <t>도매 및 소매업</t>
        </is>
      </c>
      <c r="C697" s="68" t="inlineStr">
        <is>
          <t>자동차 및 부품 판매업</t>
        </is>
      </c>
      <c r="D697" s="68" t="inlineStr">
        <is>
          <t>자동차 신품 부품 및 내장품 판매업</t>
        </is>
      </c>
      <c r="E697" s="68" t="inlineStr">
        <is>
          <t>자동차 내장용 신품 전기ㆍ전자ㆍ정밀기기 판매업</t>
        </is>
      </c>
      <c r="F697" s="68" t="inlineStr">
        <is>
          <t>◦자동차 전용 부품을 제외한 내장용 신품 전기◦전자◦정밀 기기류를 도매하는 산업활동을 말한다.
&lt;예 시&gt;
·차량 경보기 도매
·자동차용 에어컨 도매
·자동차용 라디오, 오디오 도매
·자동차용 스피커 도매
&lt;제 외&gt;
*내장용 신품 전기◦전자◦정밀 기기류 소매(→503010)</t>
        </is>
      </c>
      <c r="G697" s="90" t="n">
        <v>91.2</v>
      </c>
      <c r="H697" s="90" t="n">
        <v>0</v>
      </c>
      <c r="I697" s="90" t="n">
        <v>7.8</v>
      </c>
    </row>
    <row r="698" ht="17.25" customHeight="1" s="66">
      <c r="A698" s="65" t="inlineStr">
        <is>
          <t>503008</t>
        </is>
      </c>
      <c r="B698" s="68" t="inlineStr">
        <is>
          <t>도매 및 소매업</t>
        </is>
      </c>
      <c r="C698" s="68" t="inlineStr">
        <is>
          <t>자동차 및 부품 판매업</t>
        </is>
      </c>
      <c r="D698" s="68" t="inlineStr">
        <is>
          <t>자동차 신품 부품 및 내장품 판매업</t>
        </is>
      </c>
      <c r="E698" s="68" t="inlineStr">
        <is>
          <t>기타 자동차 신품 부품 및 내장품 판매업</t>
        </is>
      </c>
      <c r="F698" s="68" t="inlineStr">
        <is>
          <t>◦자동차용 타이어 및 튜브, 전용 부품, 전기◦전자◦정밀기기류를 제외한 자동차 신품 부품 및 내장품을 도매하는 산업활동을 말한다.
&lt;예 시&gt;
·자동차 좌석덮개(시트커버) 도매
·차량용 유리 도매
&lt;제 외&gt;
·자동차 타이어 및 튜브 도매(503001)
*기타 자동차 신품 부품 및 내장품 소매(→503013)
*자동차 액세서리, 인테리어용품 도매(→503005)</t>
        </is>
      </c>
      <c r="G698" s="90" t="n">
        <v>91.2</v>
      </c>
      <c r="H698" s="90" t="n">
        <v>0</v>
      </c>
      <c r="I698" s="90" t="n">
        <v>4.7</v>
      </c>
    </row>
    <row r="699" ht="17.25" customHeight="1" s="66">
      <c r="A699" s="65" t="inlineStr">
        <is>
          <t>503009</t>
        </is>
      </c>
      <c r="B699" s="68" t="inlineStr">
        <is>
          <t>도매 및 소매업</t>
        </is>
      </c>
      <c r="C699" s="68" t="inlineStr">
        <is>
          <t>자동차 및 부품 판매업</t>
        </is>
      </c>
      <c r="D699" s="68" t="inlineStr">
        <is>
          <t>자동차 신품 부품 및 내장품 판매업</t>
        </is>
      </c>
      <c r="E699" s="68" t="inlineStr">
        <is>
          <t>자동차용 전용 신품 부품 판매업</t>
        </is>
      </c>
      <c r="F699" s="68" t="inlineStr">
        <is>
          <t>◦자동차 엔진◦차체◦동력 전달장치◦전기장치 및 그 외 전용 신품 부품을 소매하는 산업활동을 말한다.
&lt;예 시&gt;
·자동차 엔진용 부품 소매
·자동차 차체용 부품 소매
·자동차 동력 전달장치용 부품 소매
·자동차 전기장치용 전용 부품(점화, 배선장치 등) 소매
·자동차 조향장치 부품 소매
·자동차 현가장치 부품 소매
&lt;제 외&gt;
*자동차 엔진◦차체◦동력 전달장치◦전기장치 및 그 외 전용 신품 부품 도매(→503006)</t>
        </is>
      </c>
      <c r="G699" s="90" t="n">
        <v>86.5</v>
      </c>
      <c r="H699" s="90" t="n">
        <v>0</v>
      </c>
      <c r="I699" s="90" t="n">
        <v>4.9</v>
      </c>
    </row>
    <row r="700" ht="17.25" customHeight="1" s="66">
      <c r="A700" s="65" t="inlineStr">
        <is>
          <t>503010</t>
        </is>
      </c>
      <c r="B700" s="68" t="inlineStr">
        <is>
          <t>도매 및 소매업</t>
        </is>
      </c>
      <c r="C700" s="68" t="inlineStr">
        <is>
          <t>자동차 및 부품 판매업</t>
        </is>
      </c>
      <c r="D700" s="68" t="inlineStr">
        <is>
          <t>자동차 신품 부품 및 내장품 판매업</t>
        </is>
      </c>
      <c r="E700" s="68" t="inlineStr">
        <is>
          <t>자동차 내장용 신품 전기ㆍ전자ㆍ정밀기기 판매업</t>
        </is>
      </c>
      <c r="F700" s="68" t="inlineStr">
        <is>
          <t>◦자동차 전용 부품을 제외한 내장용 신품 전기◦전자◦정밀 기기류를 소매하는 산업활동을 말한다.
&lt;예 시&gt;
·차량 경보기 소매
·자동차용 에어컨 소매
·자동차용 라디오, 오디오 소매
·자동차용 스피커 소매
&lt;제 외&gt;
*내장용 신품 전기◦전자◦정밀 기기류 도매(→503007)</t>
        </is>
      </c>
      <c r="G700" s="90" t="n">
        <v>86.5</v>
      </c>
      <c r="H700" s="90" t="n">
        <v>0</v>
      </c>
      <c r="I700" s="90" t="n">
        <v>3.4</v>
      </c>
    </row>
    <row r="701" ht="17.25" customHeight="1" s="66">
      <c r="A701" s="65" t="inlineStr">
        <is>
          <t>503013</t>
        </is>
      </c>
      <c r="B701" s="68" t="inlineStr">
        <is>
          <t>도매 및 소매업</t>
        </is>
      </c>
      <c r="C701" s="68" t="inlineStr">
        <is>
          <t>자동차 및 부품 판매업</t>
        </is>
      </c>
      <c r="D701" s="68" t="inlineStr">
        <is>
          <t>자동차 신품 부품 및 내장품 판매업</t>
        </is>
      </c>
      <c r="E701" s="68" t="inlineStr">
        <is>
          <t>기타 자동차 신품 부품 및 내장품 판매업</t>
        </is>
      </c>
      <c r="F701" s="68" t="inlineStr">
        <is>
          <t>◦자동차용 타이어 및 튜브, 전용 부품, 전기◦전자◦정밀기기류를 제외한 자동차 신품 부품 및 내장품을 소매하는 산업활동을 말한다.
&lt;예 시&gt;
·자동차 좌석덮개(시트커버) 소매
·차량용 유리 소매
&lt;제 외&gt;
·자동차 타이어 및 튜브 소매(503002)
*기타 자동차 신품 부품 및 내장품 도매(→503008)
*자동차 액세서리, 인테리어용품 소매(→503005)</t>
        </is>
      </c>
      <c r="G701" s="90" t="n">
        <v>86.5</v>
      </c>
      <c r="H701" s="90" t="n">
        <v>0</v>
      </c>
      <c r="I701" s="90" t="n">
        <v>6.3</v>
      </c>
    </row>
    <row r="702" ht="17.25" customHeight="1" s="66">
      <c r="A702" s="65" t="inlineStr">
        <is>
          <t>504001</t>
        </is>
      </c>
      <c r="B702" s="68" t="inlineStr">
        <is>
          <t>도매 및 소매업</t>
        </is>
      </c>
      <c r="C702" s="68" t="inlineStr">
        <is>
          <t>자동차 및 부품 판매업</t>
        </is>
      </c>
      <c r="D702" s="68" t="inlineStr">
        <is>
          <t>모터사이클 및 부품 판매업</t>
        </is>
      </c>
      <c r="E702" s="68" t="inlineStr">
        <is>
          <t>모터사이클 및 부품 도매업</t>
        </is>
      </c>
      <c r="F702" s="68" t="inlineStr">
        <is>
          <t>◦신품 또는 중고 상태의 모터사이클, 전동 자전거 및 부품, 구성품을 도매하는 산업활동을 말한다.
&lt;예 시&gt;
·오토바이 도매
·오토바이 부품 도매
·이륜차 도매
·전동 자전거(모페드, moped) 도매</t>
        </is>
      </c>
      <c r="G702" s="90" t="n">
        <v>93.7</v>
      </c>
      <c r="H702" s="90" t="n">
        <v>0</v>
      </c>
      <c r="I702" s="90" t="n">
        <v>3.1</v>
      </c>
    </row>
    <row r="703" ht="17.25" customHeight="1" s="66">
      <c r="A703" s="65" t="inlineStr">
        <is>
          <t>504002</t>
        </is>
      </c>
      <c r="B703" s="68" t="inlineStr">
        <is>
          <t>도매 및 소매업</t>
        </is>
      </c>
      <c r="C703" s="68" t="inlineStr">
        <is>
          <t>자동차 및 부품 판매업</t>
        </is>
      </c>
      <c r="D703" s="68" t="inlineStr">
        <is>
          <t>모터사이클 및 부품 판매업</t>
        </is>
      </c>
      <c r="E703" s="68" t="inlineStr">
        <is>
          <t>모터사이클 및 부품 소매업</t>
        </is>
      </c>
      <c r="F703" s="68" t="inlineStr">
        <is>
          <t>◦신품 또는 중고 상태의 모터사이클, 전동 자전거 및 부품, 구성품을 소매하는 활동을 말한다.
&lt;예 시&gt;
·오토바이 소매
·오토바이 부품 소매
·이륜차 소매</t>
        </is>
      </c>
      <c r="G703" s="90" t="n">
        <v>88.7</v>
      </c>
      <c r="H703" s="90" t="n">
        <v>0</v>
      </c>
      <c r="I703" s="90" t="n">
        <v>3.9</v>
      </c>
    </row>
    <row r="704" ht="17.25" customHeight="1" s="66">
      <c r="A704" s="65" t="inlineStr">
        <is>
          <t>505001</t>
        </is>
      </c>
      <c r="B704" s="68" t="inlineStr">
        <is>
          <t>도매 및 소매업</t>
        </is>
      </c>
      <c r="C704" s="68" t="inlineStr">
        <is>
          <t>소매업: 자동차 제외</t>
        </is>
      </c>
      <c r="D704" s="68" t="inlineStr">
        <is>
          <t>운송장비용 연료 소매업</t>
        </is>
      </c>
      <c r="E704" s="68" t="inlineStr">
        <is>
          <t>운송장비용 주유소 운영업</t>
        </is>
      </c>
      <c r="F704" s="68" t="inlineStr">
        <is>
          <t>◦급유시설을 갖추고 차량용 또는 보트용 및 기타 운송장비용의 각종 액체 연료를 소매하는 산업활동을 말한다.
&lt;예 시&gt;
·주유소 운영
·차량용 액체 원료 소매
&lt;제 외&gt;
·액체 연료 도매(514121)
·가정용 액체 연료 소매(523621)</t>
        </is>
      </c>
      <c r="G704" s="90" t="n">
        <v>96.40000000000001</v>
      </c>
      <c r="H704" s="90" t="n">
        <v>0</v>
      </c>
      <c r="I704" s="90" t="n">
        <v>1.6</v>
      </c>
    </row>
    <row r="705" ht="17.25" customHeight="1" s="66">
      <c r="A705" s="65" t="inlineStr">
        <is>
          <t>505002</t>
        </is>
      </c>
      <c r="B705" s="68" t="inlineStr">
        <is>
          <t>도매 및 소매업</t>
        </is>
      </c>
      <c r="C705" s="68" t="inlineStr">
        <is>
          <t>소매업: 자동차 제외</t>
        </is>
      </c>
      <c r="D705" s="68" t="inlineStr">
        <is>
          <t>운송장비용 연료 소매업</t>
        </is>
      </c>
      <c r="E705" s="68" t="inlineStr">
        <is>
          <t>운송장비용 수소 충전업, 운송장비용 기타 가스 충전업</t>
        </is>
      </c>
      <c r="F705" s="68" t="inlineStr">
        <is>
          <t>◦운송장비용 수소 가스를 판매(충전)하는 산업활동을 말한다. 
◦차량용, 보트용 및 기타 운송장비용 가스를 충전하여 주는 산업활동을 말한다.
&lt;예 시&gt;
·운송장비용 수소 가스 소매	
·운송장비용 수소 가스 충전소
·저장식 수소 충전소	
·차량용 가스연료 소매
·차량용 가스 충전소	
·보트용 가스 연료 소매
·보트용 가스 충전소	
&lt;제 외&gt;
·제조식 수소 충전소(241101)	
·가스 연료 도매(514130)	
·가정용 가스 연료 소매(523630)</t>
        </is>
      </c>
      <c r="G705" s="90" t="n">
        <v>94.3</v>
      </c>
      <c r="H705" s="90" t="n">
        <v>0</v>
      </c>
      <c r="I705" s="90" t="n">
        <v>4.4</v>
      </c>
    </row>
    <row r="706" ht="17.25" customHeight="1" s="66">
      <c r="A706" s="65" t="inlineStr">
        <is>
          <t>511111</t>
        </is>
      </c>
      <c r="B706" s="68" t="inlineStr">
        <is>
          <t>도매 및 소매업</t>
        </is>
      </c>
      <c r="C706" s="68" t="inlineStr">
        <is>
          <t>도매 및 상품 중개업</t>
        </is>
      </c>
      <c r="D706" s="68" t="inlineStr">
        <is>
          <t>상품 중개업</t>
        </is>
      </c>
      <c r="E706" s="68" t="inlineStr">
        <is>
          <t>산업용 농ㆍ축산물, 섬유 원료 및 동물 중개업</t>
        </is>
      </c>
      <c r="F706" s="68" t="inlineStr">
        <is>
          <t>◦산업용으로 사용되는 농◦축산물, 살아 있는 동◦식물 및 수렵물의 거래에 관련된 경매, 중개 또는 대리하는 산업활동을 말한다.
&lt;예 시&gt;
·사료 중개
·종묘 중개
·가축 중개
·화초 및 산식물 중개
·공업용 농·축산물 중개
·원피, 원모 및 조면 중개
&lt;제 외&gt;
·과실, 채소, 달걀, 도축고기 등과 같이 직접 소비자가 소비할 수 있는 미가공의 농·축산물은 식품으로 보아, 이들의 거래에 관련된 중개 서비스는511122에 분류
·정면(精綿), 실, 가죽 등의 중개(511115)
·미가공 수산물 중개(511122)
*농ㆍ축ㆍ임산물(법정도매시장)(→511112)</t>
        </is>
      </c>
      <c r="G706" s="90" t="n">
        <v>86.2</v>
      </c>
      <c r="H706" s="90" t="n">
        <v>0</v>
      </c>
      <c r="I706" s="90" t="n">
        <v>5.4</v>
      </c>
    </row>
    <row r="707" ht="17.25" customHeight="1" s="66">
      <c r="A707" s="65" t="inlineStr">
        <is>
          <t>511112</t>
        </is>
      </c>
      <c r="B707" s="68" t="inlineStr">
        <is>
          <t>도매 및 소매업</t>
        </is>
      </c>
      <c r="C707" s="68" t="inlineStr">
        <is>
          <t>도매 및 상품 중개업</t>
        </is>
      </c>
      <c r="D707" s="68" t="inlineStr">
        <is>
          <t>상품 중개업</t>
        </is>
      </c>
      <c r="E707" s="68" t="inlineStr">
        <is>
          <t>산업용 농ㆍ축산물, 섬유 원료 및 동물 중개업</t>
        </is>
      </c>
      <c r="F707" s="68" t="inlineStr">
        <is>
          <t>◦농ㆍ축ㆍ임산물(법정도매시장)
 -「농수산물유통 및 가격안정에 관한 법률」에 따라 설립된 도매시장(공판장 포함) 중매인(산지유통인 포함)</t>
        </is>
      </c>
      <c r="G707" s="90" t="n">
        <v>84</v>
      </c>
      <c r="H707" s="90" t="n">
        <v>0</v>
      </c>
      <c r="I707" s="90" t="n">
        <v>16.8</v>
      </c>
    </row>
    <row r="708" ht="17.25" customHeight="1" s="66">
      <c r="A708" s="65" t="inlineStr">
        <is>
          <t>511113</t>
        </is>
      </c>
      <c r="B708" s="68" t="inlineStr">
        <is>
          <t>도매 및 소매업</t>
        </is>
      </c>
      <c r="C708" s="68" t="inlineStr">
        <is>
          <t>도매 및 상품 중개업</t>
        </is>
      </c>
      <c r="D708" s="68" t="inlineStr">
        <is>
          <t>상품 중개업</t>
        </is>
      </c>
      <c r="E708" s="68" t="inlineStr">
        <is>
          <t>음ㆍ식료품 및 담배 중개업</t>
        </is>
      </c>
      <c r="F708" s="68" t="inlineStr">
        <is>
          <t>◦청과물 위탁매매
 ·자기의 명의로 타인의 계산에 의하여 물품을 구입 또는 판매하고 대가를 받는 사업
&lt;예 시&gt;
·청과물, 가공음료, 계란, 도축고기, 주류 중개</t>
        </is>
      </c>
      <c r="G708" s="90" t="n">
        <v>86.5</v>
      </c>
      <c r="H708" s="90" t="n">
        <v>0</v>
      </c>
      <c r="I708" s="90" t="n">
        <v>6.8</v>
      </c>
    </row>
    <row r="709" ht="17.25" customHeight="1" s="66">
      <c r="A709" s="65" t="inlineStr">
        <is>
          <t>511114</t>
        </is>
      </c>
      <c r="B709" s="68" t="inlineStr">
        <is>
          <t>도매 및 소매업</t>
        </is>
      </c>
      <c r="C709" s="68" t="inlineStr">
        <is>
          <t>도매 및 상품 중개업</t>
        </is>
      </c>
      <c r="D709" s="68" t="inlineStr">
        <is>
          <t>상품 중개업</t>
        </is>
      </c>
      <c r="E709" s="68" t="inlineStr">
        <is>
          <t>음ㆍ식료품 및 담배 중개업</t>
        </is>
      </c>
      <c r="F709" s="68" t="inlineStr">
        <is>
          <t>◦수산물 위탁매매
&lt;예 시&gt;
·갑각류, 건어물, 냉동수산물, 미가공수산물, 염장수산물, 해조류 중개</t>
        </is>
      </c>
      <c r="G709" s="90" t="n">
        <v>87</v>
      </c>
      <c r="H709" s="90" t="n">
        <v>0</v>
      </c>
      <c r="I709" s="90" t="n">
        <v>4.1</v>
      </c>
    </row>
    <row r="710" ht="17.25" customHeight="1" s="66">
      <c r="A710" s="65" t="inlineStr">
        <is>
          <t>511115</t>
        </is>
      </c>
      <c r="B710" s="68" t="inlineStr">
        <is>
          <t>도매 및 소매업</t>
        </is>
      </c>
      <c r="C710" s="68" t="inlineStr">
        <is>
          <t>도매 및 상품 중개업</t>
        </is>
      </c>
      <c r="D710" s="68" t="inlineStr">
        <is>
          <t>상품 중개업</t>
        </is>
      </c>
      <c r="E710" s="68" t="inlineStr">
        <is>
          <t>섬유, 의복, 신발 및 가죽제품 중개업, 목재 및 건축자재 중개업, 연료, 광물, 1차 금속, 비료 및 화학제품 중개업, 기계 및 장비 중개업, 그 외 기타 특정 상품 중개업, 상품 종합 중개업</t>
        </is>
      </c>
      <c r="F710" s="68" t="inlineStr">
        <is>
          <t>◦각종 상품의 거래에 관련된 중개사업
&lt;예 시&gt;
·섬유제품 및 의복 중개                  ·골재, 벽돌, 시멘트 중개
·화학제품 중개                          
·과학용 기구 및 장비 중개
·철물 및 수공구 중개                    
·종합 무역 중개</t>
        </is>
      </c>
      <c r="G710" s="90" t="n">
        <v>80.40000000000001</v>
      </c>
      <c r="H710" s="90" t="n">
        <v>0</v>
      </c>
      <c r="I710" s="90" t="n">
        <v>17.3</v>
      </c>
    </row>
    <row r="711" ht="17.25" customHeight="1" s="66">
      <c r="A711" s="65" t="inlineStr">
        <is>
          <t>511116</t>
        </is>
      </c>
      <c r="B711" s="68" t="inlineStr">
        <is>
          <t>도매 및 소매업</t>
        </is>
      </c>
      <c r="C711" s="68" t="inlineStr">
        <is>
          <t>도매 및 상품 중개업</t>
        </is>
      </c>
      <c r="D711" s="68" t="inlineStr">
        <is>
          <t>상품 중개업</t>
        </is>
      </c>
      <c r="E711" s="68" t="inlineStr">
        <is>
          <t>섬유, 의복, 신발 및 가죽제품 중개업, 목재 및 건축자재 중개업, 연료, 광물, 1차 금속, 비료 및 화학제품 중개업, 기계 및 장비 중개업, 상품 종합 중개업</t>
        </is>
      </c>
      <c r="F711" s="68" t="inlineStr">
        <is>
          <t>◦수출주선
·수출대행, 수출중개서비스(종합상품)</t>
        </is>
      </c>
      <c r="G711" s="90" t="n">
        <v>82.40000000000001</v>
      </c>
      <c r="H711" s="90" t="n">
        <v>0</v>
      </c>
      <c r="I711" s="90" t="n">
        <v>17.4</v>
      </c>
    </row>
    <row r="712" ht="17.25" customHeight="1" s="66">
      <c r="A712" s="65" t="inlineStr">
        <is>
          <t>511117</t>
        </is>
      </c>
      <c r="B712" s="68" t="inlineStr">
        <is>
          <t>도매 및 소매업</t>
        </is>
      </c>
      <c r="C712" s="68" t="inlineStr">
        <is>
          <t>도매 및 상품 중개업</t>
        </is>
      </c>
      <c r="D712" s="68" t="inlineStr">
        <is>
          <t>상품 중개업</t>
        </is>
      </c>
      <c r="E712" s="68" t="inlineStr">
        <is>
          <t>섬유, 의복, 신발 및 가죽제품 중개업, 목재 및 건축자재 중개업, 연료, 광물, 1차 금속, 비료 및 화학제품 중개업, 기계 및 장비 중개업, 그 외 기타 특정 상품 중개업</t>
        </is>
      </c>
      <c r="F712" s="68" t="inlineStr">
        <is>
          <t>◦기타주선
 -자기의 명의로 타인의 계산에 의하여 타인간의 상행위를 인수하고 대가를 받는 사업
&lt;제 외&gt;
 *사업관련주선(→749903)</t>
        </is>
      </c>
      <c r="G712" s="90" t="n">
        <v>79.09999999999999</v>
      </c>
      <c r="H712" s="90" t="n">
        <v>0</v>
      </c>
      <c r="I712" s="90" t="n">
        <v>20.5</v>
      </c>
    </row>
    <row r="713" ht="17.25" customHeight="1" s="66">
      <c r="A713" s="65" t="inlineStr">
        <is>
          <t>511118</t>
        </is>
      </c>
      <c r="B713" s="68" t="inlineStr">
        <is>
          <t>도매 및 소매업</t>
        </is>
      </c>
      <c r="C713" s="68" t="inlineStr">
        <is>
          <t>도매 및 상품 중개업</t>
        </is>
      </c>
      <c r="D713" s="68" t="inlineStr">
        <is>
          <t>상품 중개업</t>
        </is>
      </c>
      <c r="E713" s="68" t="inlineStr">
        <is>
          <t>음ㆍ식료품 및 담배 중개업</t>
        </is>
      </c>
      <c r="F713" s="68" t="inlineStr">
        <is>
          <t>◦타인으로부터 위탁을 받아 상품을 판매하고 수수료를 받는 업</t>
        </is>
      </c>
      <c r="G713" s="90" t="n">
        <v>80.90000000000001</v>
      </c>
      <c r="H713" s="90" t="n">
        <v>0</v>
      </c>
      <c r="I713" s="90" t="n">
        <v>18.6</v>
      </c>
    </row>
    <row r="714" ht="17.25" customHeight="1" s="66">
      <c r="A714" s="65" t="inlineStr">
        <is>
          <t>511119</t>
        </is>
      </c>
      <c r="B714" s="68" t="inlineStr">
        <is>
          <t>도매 및 소매업</t>
        </is>
      </c>
      <c r="C714" s="68" t="inlineStr">
        <is>
          <t>도매 및 상품 중개업</t>
        </is>
      </c>
      <c r="D714" s="68" t="inlineStr">
        <is>
          <t>상품 중개업</t>
        </is>
      </c>
      <c r="E714" s="68" t="inlineStr">
        <is>
          <t>섬유, 의복, 신발 및 가죽제품 중개업, 목재 및 건축자재 중개업, 연료, 광물, 1차 금속, 비료 및 화학제품 중개업, 기계 및 장비 중개업, 상품 종합 중개업</t>
        </is>
      </c>
      <c r="F714" s="68" t="inlineStr">
        <is>
          <t>◦상품대리
·약정에 따라 타인을 대리하여 상품을 판매하고 그 실적에 따라 수수료를 받는 사업
&lt;제 외&gt;
 *계약에 의하여 백화점 매장·주유소·편의점 등의 판매관리, 재고관리 용역을 제공하는 경우 (「부가가치세법 시행령」 제42조에 따른 인적용역사업자 →940909)</t>
        </is>
      </c>
      <c r="G714" s="90" t="n">
        <v>78</v>
      </c>
      <c r="H714" s="90" t="n">
        <v>0</v>
      </c>
      <c r="I714" s="90" t="n">
        <v>23.1</v>
      </c>
    </row>
    <row r="715" ht="17.25" customHeight="1" s="66">
      <c r="A715" s="65" t="inlineStr">
        <is>
          <t>511121</t>
        </is>
      </c>
      <c r="B715" s="68" t="inlineStr">
        <is>
          <t>도매 및 소매업</t>
        </is>
      </c>
      <c r="C715" s="68" t="inlineStr">
        <is>
          <t>도매 및 상품 중개업</t>
        </is>
      </c>
      <c r="D715" s="68" t="inlineStr">
        <is>
          <t>상품 중개업</t>
        </is>
      </c>
      <c r="E715" s="68" t="inlineStr">
        <is>
          <t>음ㆍ식료품 및 담배 중개업</t>
        </is>
      </c>
      <c r="F715" s="68" t="inlineStr">
        <is>
          <t>◦타인으로부터 위탁을 받아 아동용 급식빵을 판매하거나 우유보급서비스를 제공하고 수수료를 받는 업</t>
        </is>
      </c>
      <c r="G715" s="90" t="n">
        <v>88.59999999999999</v>
      </c>
      <c r="H715" s="90" t="n">
        <v>0</v>
      </c>
      <c r="I715" s="90" t="n">
        <v>4.5</v>
      </c>
    </row>
    <row r="716" ht="17.25" customHeight="1" s="66">
      <c r="A716" s="65" t="inlineStr">
        <is>
          <t>511122</t>
        </is>
      </c>
      <c r="B716" s="68" t="inlineStr">
        <is>
          <t>도매 및 소매업</t>
        </is>
      </c>
      <c r="C716" s="68" t="inlineStr">
        <is>
          <t>도매 및 상품 중개업</t>
        </is>
      </c>
      <c r="D716" s="68" t="inlineStr">
        <is>
          <t>상품 중개업</t>
        </is>
      </c>
      <c r="E716" s="68" t="inlineStr">
        <is>
          <t>음ㆍ식료품 및 담배 중개업</t>
        </is>
      </c>
      <c r="F716" s="68" t="inlineStr">
        <is>
          <t>◦미가공 수산물, 과일, 채소를 포함하여 각종 가공 음◦식료품 및 담배 거래에 관련된 상품의 경매, 중개 또는 대리하는 산업활동을 말한다.
&lt;예 시&gt;
·주류 및 비알코올 음료 중개            ·빵 및 과자 중개
·도축고기 중개                         
·생선 및 물고기 중개
·조리 가공식품 중개                    
·수산물(신선, 냉동, 건조, 염장 등 가공품) 중개
&lt;제 외&gt;
*수산물(법정도매시장)(→511123)
*청과물 위탁매매(→511113)
*수산물 위탁매매(→511114)
*타인으로부터 위탁을 받아 상품을 판매하고 수수료를 받는 업(→511118)
*타인으로부터 위탁을 받아 아동용 급식빵을 판매하거나 우유보급서비스를 제공하고 수수료를 받는 업(→511121)</t>
        </is>
      </c>
      <c r="G716" s="90" t="n">
        <v>86</v>
      </c>
      <c r="H716" s="90" t="n">
        <v>0</v>
      </c>
      <c r="I716" s="90" t="n">
        <v>5.3</v>
      </c>
    </row>
    <row r="717" ht="17.25" customHeight="1" s="66">
      <c r="A717" s="65" t="inlineStr">
        <is>
          <t>511123</t>
        </is>
      </c>
      <c r="B717" s="68" t="inlineStr">
        <is>
          <t>도매 및 소매업</t>
        </is>
      </c>
      <c r="C717" s="68" t="inlineStr">
        <is>
          <t>도매 및 상품 중개업</t>
        </is>
      </c>
      <c r="D717" s="68" t="inlineStr">
        <is>
          <t>상품 중개업</t>
        </is>
      </c>
      <c r="E717" s="68" t="inlineStr">
        <is>
          <t>음ㆍ식료품 및 담배 중개업</t>
        </is>
      </c>
      <c r="F717" s="68" t="inlineStr">
        <is>
          <t>◦수산물(법정도매시장)
 - 「농수산물유통 및 가격안정에 관한 법률」에 따라 설립된 도매시장(공판장 포함) 중매인(산지유통인 포함)
&lt;예 시&gt;
·수산물경매</t>
        </is>
      </c>
      <c r="G717" s="90" t="n">
        <v>85.8</v>
      </c>
      <c r="H717" s="90" t="n">
        <v>0</v>
      </c>
      <c r="I717" s="90" t="n">
        <v>7.4</v>
      </c>
    </row>
    <row r="718" ht="17.25" customHeight="1" s="66">
      <c r="A718" s="65" t="inlineStr">
        <is>
          <t>512111</t>
        </is>
      </c>
      <c r="B718" s="68" t="inlineStr">
        <is>
          <t>도매 및 소매업</t>
        </is>
      </c>
      <c r="C718" s="68" t="inlineStr">
        <is>
          <t>도매 및 상품 중개업</t>
        </is>
      </c>
      <c r="D718" s="68" t="inlineStr">
        <is>
          <t>산업용 농ㆍ축산물 및 동ㆍ식물 도매업</t>
        </is>
      </c>
      <c r="E718" s="68" t="inlineStr">
        <is>
          <t>곡물 및 유지작물 도매업</t>
        </is>
      </c>
      <c r="F718" s="68" t="inlineStr">
        <is>
          <t>◦가공하지 않았거나 도정한 식량작물을 도매하는 산업활동을 말한다.
&lt;예 시&gt;
·쌀, 보리, 밀 도매
·콩, 옥수수 도매
&lt;제 외&gt;
·곡물 가루 도매(512116)
*쌀 및 기타곡물 법정도매시장 중도매인(→512112)
*각종 유지작물 등 도매(→512119)</t>
        </is>
      </c>
      <c r="G718" s="90" t="n">
        <v>97.3</v>
      </c>
      <c r="H718" s="90" t="n">
        <v>0</v>
      </c>
      <c r="I718" s="90" t="n">
        <v>2.6</v>
      </c>
    </row>
    <row r="719" ht="17.25" customHeight="1" s="66">
      <c r="A719" s="65" t="inlineStr">
        <is>
          <t>512112</t>
        </is>
      </c>
      <c r="B719" s="68" t="inlineStr">
        <is>
          <t>도매 및 소매업</t>
        </is>
      </c>
      <c r="C719" s="68" t="inlineStr">
        <is>
          <t>도매 및 상품 중개업</t>
        </is>
      </c>
      <c r="D719" s="68" t="inlineStr">
        <is>
          <t>산업용 농ㆍ축산물 및 동ㆍ식물 도매업</t>
        </is>
      </c>
      <c r="E719" s="68" t="inlineStr">
        <is>
          <t>곡물 및 유지작물 도매업</t>
        </is>
      </c>
      <c r="F719" s="68" t="inlineStr">
        <is>
          <t>◦쌀 및 기타곡물(법정도매시장)
 - 「농수산물유통 및 가격안정에 관한 법률」에 따라 설립된 도매시장 중도매인(산지 유통인 포함)</t>
        </is>
      </c>
      <c r="G719" s="90" t="n">
        <v>98.90000000000001</v>
      </c>
      <c r="H719" s="90" t="n">
        <v>0</v>
      </c>
      <c r="I719" s="90" t="n">
        <v>1.4</v>
      </c>
    </row>
    <row r="720" ht="17.25" customHeight="1" s="66">
      <c r="A720" s="65" t="inlineStr">
        <is>
          <t>512113</t>
        </is>
      </c>
      <c r="B720" s="68" t="inlineStr">
        <is>
          <t>도매 및 소매업</t>
        </is>
      </c>
      <c r="C720" s="68" t="inlineStr">
        <is>
          <t>도매 및 상품 중개업</t>
        </is>
      </c>
      <c r="D720" s="68" t="inlineStr">
        <is>
          <t>산업용 농ㆍ축산물 및 동ㆍ식물 도매업</t>
        </is>
      </c>
      <c r="E720" s="68" t="inlineStr">
        <is>
          <t>종자 및 묘목 도매업</t>
        </is>
      </c>
      <c r="F720" s="68" t="inlineStr">
        <is>
          <t>◦곡물, 채소 등의 종자를 도매하는 산업활동을 말한다.
&lt;예 시&gt;
·곡물 종자 도매
·채소 종자 도매
·화훼 종자 도매
&lt;제 외&gt;
*과실 등의 묘목 도매(→512135)</t>
        </is>
      </c>
      <c r="G720" s="90" t="n">
        <v>92</v>
      </c>
      <c r="H720" s="90" t="n">
        <v>0</v>
      </c>
      <c r="I720" s="90" t="n">
        <v>3.5</v>
      </c>
    </row>
    <row r="721" ht="17.25" customHeight="1" s="66">
      <c r="A721" s="65" t="inlineStr">
        <is>
          <t>512116</t>
        </is>
      </c>
      <c r="B721" s="68" t="inlineStr">
        <is>
          <t>도매 및 소매업</t>
        </is>
      </c>
      <c r="C721" s="68" t="inlineStr">
        <is>
          <t>도매 및 상품 중개업</t>
        </is>
      </c>
      <c r="D721" s="68" t="inlineStr">
        <is>
          <t>가공식품 도매업</t>
        </is>
      </c>
      <c r="E721" s="68" t="inlineStr">
        <is>
          <t>기타 가공식품 도매업</t>
        </is>
      </c>
      <c r="F721" s="68" t="inlineStr">
        <is>
          <t>◦곡물 가루 등의 가공식품을 도매하는 산업활동을 말한다.
&lt;예 시&gt;
·곡물 가공품 도매
·곡물 가루(쌀, 보리, 밀) 도매</t>
        </is>
      </c>
      <c r="G721" s="90" t="n">
        <v>97.3</v>
      </c>
      <c r="H721" s="90" t="n">
        <v>0</v>
      </c>
      <c r="I721" s="90" t="n">
        <v>3.1</v>
      </c>
    </row>
    <row r="722" ht="17.25" customHeight="1" s="66">
      <c r="A722" s="65" t="inlineStr">
        <is>
          <t>512119</t>
        </is>
      </c>
      <c r="B722" s="68" t="inlineStr">
        <is>
          <t>도매 및 소매업</t>
        </is>
      </c>
      <c r="C722" s="68" t="inlineStr">
        <is>
          <t>도매 및 상품 중개업</t>
        </is>
      </c>
      <c r="D722" s="68" t="inlineStr">
        <is>
          <t>산업용 농ㆍ축산물 및 동ㆍ식물 도매업</t>
        </is>
      </c>
      <c r="E722" s="68" t="inlineStr">
        <is>
          <t>곡물 및 유지작물 도매업</t>
        </is>
      </c>
      <c r="F722" s="68" t="inlineStr">
        <is>
          <t>◦각종 유지작물 등을 도매하는 산업활동을 말한다.
&lt;예 시&gt;
·깨 도매
·기름 함유된 열매 도매
&lt;제 외&gt;
*쌀 및 기타곡물 법정도매시장 중도매인(→512112)
*가공하지 않았거나 도정한 식량작물 도매(→512111)</t>
        </is>
      </c>
      <c r="G722" s="90" t="n">
        <v>94.90000000000001</v>
      </c>
      <c r="H722" s="90" t="n">
        <v>0</v>
      </c>
      <c r="I722" s="90" t="n">
        <v>2.5</v>
      </c>
    </row>
    <row r="723" ht="17.25" customHeight="1" s="66">
      <c r="A723" s="65" t="inlineStr">
        <is>
          <t>512120</t>
        </is>
      </c>
      <c r="B723" s="68" t="inlineStr">
        <is>
          <t>도매 및 소매업</t>
        </is>
      </c>
      <c r="C723" s="68" t="inlineStr">
        <is>
          <t>도매 및 상품 중개업</t>
        </is>
      </c>
      <c r="D723" s="68" t="inlineStr">
        <is>
          <t>산업용 농ㆍ축산물 및 동ㆍ식물 도매업</t>
        </is>
      </c>
      <c r="E723" s="68" t="inlineStr">
        <is>
          <t>사료 도매업</t>
        </is>
      </c>
      <c r="F723" s="68" t="inlineStr">
        <is>
          <t>◦축산 및 양식 사료용 농산물 및 각종 사료를 도매하는 산업활동을 말한다.
&lt;예 시&gt;
·단미 사료(원료 사료) 도매
·배합 사료 도매
·보조 사료 도매
·어류용 사료 도매
&lt;제 외&gt;
·식용작물 도매(512111,512119)</t>
        </is>
      </c>
      <c r="G723" s="90" t="n">
        <v>94.5</v>
      </c>
      <c r="H723" s="90" t="n">
        <v>0</v>
      </c>
      <c r="I723" s="90" t="n">
        <v>6.1</v>
      </c>
    </row>
    <row r="724" ht="17.25" customHeight="1" s="66">
      <c r="A724" s="65" t="inlineStr">
        <is>
          <t>512131</t>
        </is>
      </c>
      <c r="B724" s="68" t="inlineStr">
        <is>
          <t>도매 및 소매업</t>
        </is>
      </c>
      <c r="C724" s="68" t="inlineStr">
        <is>
          <t>도매 및 상품 중개업</t>
        </is>
      </c>
      <c r="D724" s="68" t="inlineStr">
        <is>
          <t>산업용 농ㆍ축산물 및 동ㆍ식물 도매업</t>
        </is>
      </c>
      <c r="E724" s="68" t="inlineStr">
        <is>
          <t>화훼류 및 식물 도매업</t>
        </is>
      </c>
      <c r="F724" s="68" t="inlineStr">
        <is>
          <t>◦과실수, 관상수 등 각종 살아있는 식물을 도매하는 산업활동을 말한다.
&lt;예 시&gt;
·관상수 도매
·잔디 도매
&lt;제 외&gt;
·채소, 과실 등의 묘목을 도매하는 경우(512135)
*생화(법정도매시장)(→512133)
*화초 등 각종 살아있는 식물 도매(→512132)</t>
        </is>
      </c>
      <c r="G724" s="90" t="n">
        <v>89.8</v>
      </c>
      <c r="H724" s="90" t="n">
        <v>0</v>
      </c>
      <c r="I724" s="90" t="n">
        <v>5</v>
      </c>
    </row>
    <row r="725" ht="17.25" customHeight="1" s="66">
      <c r="A725" s="65" t="inlineStr">
        <is>
          <t>512132</t>
        </is>
      </c>
      <c r="B725" s="68" t="inlineStr">
        <is>
          <t>도매 및 소매업</t>
        </is>
      </c>
      <c r="C725" s="68" t="inlineStr">
        <is>
          <t>도매 및 상품 중개업</t>
        </is>
      </c>
      <c r="D725" s="68" t="inlineStr">
        <is>
          <t>산업용 농ㆍ축산물 및 동ㆍ식물 도매업</t>
        </is>
      </c>
      <c r="E725" s="68" t="inlineStr">
        <is>
          <t>화훼류 및 식물 도매업</t>
        </is>
      </c>
      <c r="F725" s="68" t="inlineStr">
        <is>
          <t>◦화초 등 각종 살아있는 식물을 도매하는 산업활동을 말한다.
&lt;예 시&gt;
·꽃 및 난 도매
·분재류 도매
·구근(서류작물 제외) 도매
&lt;제 외&gt;
·화훼 등의 묘목을 도매하는 경우(512135)
*생화(법정도매시장)(→512133)
*과실수, 관상수 등 각종 살아있는 식물 도매(→512131)</t>
        </is>
      </c>
      <c r="G725" s="90" t="n">
        <v>92.59999999999999</v>
      </c>
      <c r="H725" s="90" t="n">
        <v>0</v>
      </c>
      <c r="I725" s="90" t="n">
        <v>6.1</v>
      </c>
    </row>
    <row r="726" ht="17.25" customHeight="1" s="66">
      <c r="A726" s="65" t="inlineStr">
        <is>
          <t>512133</t>
        </is>
      </c>
      <c r="B726" s="68" t="inlineStr">
        <is>
          <t>도매 및 소매업</t>
        </is>
      </c>
      <c r="C726" s="68" t="inlineStr">
        <is>
          <t>도매 및 상품 중개업</t>
        </is>
      </c>
      <c r="D726" s="68" t="inlineStr">
        <is>
          <t>산업용 농ㆍ축산물 및 동ㆍ식물 도매업</t>
        </is>
      </c>
      <c r="E726" s="68" t="inlineStr">
        <is>
          <t>화훼류 및 식물 도매업</t>
        </is>
      </c>
      <c r="F726" s="68" t="inlineStr">
        <is>
          <t>◦생화(법정도매시장)
 - 「농수산물유통 및 가격안정에 관한 법률」에 따라 설립된 도매시장 중도매인(산지 유통인 포함)</t>
        </is>
      </c>
      <c r="G726" s="90" t="n">
        <v>96.3</v>
      </c>
      <c r="H726" s="90" t="n">
        <v>0</v>
      </c>
      <c r="I726" s="90" t="n">
        <v>2.6</v>
      </c>
    </row>
    <row r="727" ht="17.25" customHeight="1" s="66">
      <c r="A727" s="65" t="inlineStr">
        <is>
          <t>512135</t>
        </is>
      </c>
      <c r="B727" s="68" t="inlineStr">
        <is>
          <t>도매 및 소매업</t>
        </is>
      </c>
      <c r="C727" s="68" t="inlineStr">
        <is>
          <t>도매 및 상품 중개업</t>
        </is>
      </c>
      <c r="D727" s="68" t="inlineStr">
        <is>
          <t>산업용 농ㆍ축산물 및 동ㆍ식물 도매업</t>
        </is>
      </c>
      <c r="E727" s="68" t="inlineStr">
        <is>
          <t>종자 및 묘목 도매업</t>
        </is>
      </c>
      <c r="F727" s="68" t="inlineStr">
        <is>
          <t>◦과실 등의 묘목을 도매하는 산업활동을 말한다.
&lt;예 시&gt;
·감람나무(올리브나무)묘목, 과수묘목, 과실묘목, 화초묘목
&lt;제 외&gt;
*곡물, 채소 등의 종자 도매(→512113)</t>
        </is>
      </c>
      <c r="G727" s="90" t="n">
        <v>89.8</v>
      </c>
      <c r="H727" s="90" t="n">
        <v>0</v>
      </c>
      <c r="I727" s="90" t="n">
        <v>3.6</v>
      </c>
    </row>
    <row r="728" ht="17.25" customHeight="1" s="66">
      <c r="A728" s="65" t="inlineStr">
        <is>
          <t>512140</t>
        </is>
      </c>
      <c r="B728" s="68" t="inlineStr">
        <is>
          <t>도매 및 소매업</t>
        </is>
      </c>
      <c r="C728" s="68" t="inlineStr">
        <is>
          <t>도매 및 상품 중개업</t>
        </is>
      </c>
      <c r="D728" s="68" t="inlineStr">
        <is>
          <t>산업용 농ㆍ축산물 및 동ㆍ식물 도매업</t>
        </is>
      </c>
      <c r="E728" s="68" t="inlineStr">
        <is>
          <t>육지동물 및 반려동물도매업</t>
        </is>
      </c>
      <c r="F728" s="68" t="inlineStr">
        <is>
          <t>◦가축 및 기타 살아있는 육지 동물과 반려･애완용 동물을 도매하는 산업활동을 말한다.
&lt;예 시&gt;
·소, 말, 돼지 도매                           
 ·닭, 오리 등 가금류 도매
·조류 도매 
·사슴, 멧돼지 도매
·반려견 도매                                 
·반려묘 도매
&lt;제 외&gt;
·반려용 이외 수산 동물 도매(512231,512232,512234,512235)
*관상용 열대어 등 도매(→512192)</t>
        </is>
      </c>
      <c r="G728" s="90" t="n">
        <v>97.3</v>
      </c>
      <c r="H728" s="90" t="n">
        <v>0</v>
      </c>
      <c r="I728" s="90" t="n">
        <v>2.2</v>
      </c>
    </row>
    <row r="729" ht="17.25" customHeight="1" s="66">
      <c r="A729" s="65" t="inlineStr">
        <is>
          <t>512190</t>
        </is>
      </c>
      <c r="B729" s="68" t="inlineStr">
        <is>
          <t>도매 및 소매업</t>
        </is>
      </c>
      <c r="C729" s="68" t="inlineStr">
        <is>
          <t>도매 및 상품 중개업</t>
        </is>
      </c>
      <c r="D729" s="68" t="inlineStr">
        <is>
          <t>산업용 농ㆍ축산물 및 동ㆍ식물 도매업</t>
        </is>
      </c>
      <c r="E729" s="68" t="inlineStr">
        <is>
          <t>기타 산업용 농산물 도매업</t>
        </is>
      </c>
      <c r="F729" s="68" t="inlineStr">
        <is>
          <t>◦기타 산업용 미가공 농산물 및 가죽 원단, 원모 및 원면 등을 도매하는 산업활동을 말한다.
&lt;예 시&gt;
·가죽 및 가죽 원단 도매
·공업용 농산물(곡물 제외) 도매
·원피 및 원모피 도매
·잎담배 도매
·한약재 도매
·누에고치 도매
·원모 및 원면 도매
·미가공 커피 도매
&lt;제 외&gt;
*임산물(일반) 도매(→512221)
*임산물(법정도매시장)(→512222)</t>
        </is>
      </c>
      <c r="G729" s="90" t="n">
        <v>93.90000000000001</v>
      </c>
      <c r="H729" s="90" t="n">
        <v>0</v>
      </c>
      <c r="I729" s="90" t="n">
        <v>3.5</v>
      </c>
    </row>
    <row r="730" ht="17.25" customHeight="1" s="66">
      <c r="A730" s="65" t="inlineStr">
        <is>
          <t>512192</t>
        </is>
      </c>
      <c r="B730" s="68" t="inlineStr">
        <is>
          <t>도매 및 소매업</t>
        </is>
      </c>
      <c r="C730" s="68" t="inlineStr">
        <is>
          <t>도매 및 상품 중개업</t>
        </is>
      </c>
      <c r="D730" s="68" t="inlineStr">
        <is>
          <t>산업용 농ㆍ축산물 및 동ㆍ식물 도매업</t>
        </is>
      </c>
      <c r="E730" s="68" t="inlineStr">
        <is>
          <t>육지동물 및 반려동물도매업</t>
        </is>
      </c>
      <c r="F730" s="68" t="inlineStr">
        <is>
          <t>◦관상용 열대어 등
&lt;예 시&gt;
·관상어(바다및민물고기), 금붕어(관상용), 비단잉어</t>
        </is>
      </c>
      <c r="G730" s="90" t="n">
        <v>93.90000000000001</v>
      </c>
      <c r="H730" s="90" t="n">
        <v>0</v>
      </c>
      <c r="I730" s="90" t="n">
        <v>4</v>
      </c>
    </row>
    <row r="731" ht="17.25" customHeight="1" s="66">
      <c r="A731" s="65" t="inlineStr">
        <is>
          <t>512211</t>
        </is>
      </c>
      <c r="B731" s="68" t="inlineStr">
        <is>
          <t>도매 및 소매업</t>
        </is>
      </c>
      <c r="C731" s="68" t="inlineStr">
        <is>
          <t>도매 및 상품 중개업</t>
        </is>
      </c>
      <c r="D731" s="68" t="inlineStr">
        <is>
          <t>신선 식품 및 단순 가공 식품 도매업</t>
        </is>
      </c>
      <c r="E731" s="68" t="inlineStr">
        <is>
          <t>과실류 도매업</t>
        </is>
      </c>
      <c r="F731" s="68" t="inlineStr">
        <is>
          <t>◦견과를 포함한 각종 과실류를 도매하는 산업활동을 말한다.
&lt;예 시&gt;
·견과류(대추, 밤, 은행 등) 도매
·사과, 배, 감, 포도 등 과일 도매
&lt;제 외&gt;
·통조림 식품 도매는 육류, 과실 및 채소류, 수산물 등 종류별로 분류(512271,512289,512280)
·조제 가공식품 도매(해당 가공식품 산업활동으로 분류)
*과실(법정도매시장)(→512214)</t>
        </is>
      </c>
      <c r="G731" s="90" t="n">
        <v>95.90000000000001</v>
      </c>
      <c r="H731" s="90" t="n">
        <v>0</v>
      </c>
      <c r="I731" s="90" t="n">
        <v>2.6</v>
      </c>
    </row>
    <row r="732" ht="17.25" customHeight="1" s="66">
      <c r="A732" s="65" t="inlineStr">
        <is>
          <t>512212</t>
        </is>
      </c>
      <c r="B732" s="68" t="inlineStr">
        <is>
          <t>도매 및 소매업</t>
        </is>
      </c>
      <c r="C732" s="68" t="inlineStr">
        <is>
          <t>도매 및 상품 중개업</t>
        </is>
      </c>
      <c r="D732" s="68" t="inlineStr">
        <is>
          <t>신선 식품 및 단순 가공 식품 도매업</t>
        </is>
      </c>
      <c r="E732" s="68" t="inlineStr">
        <is>
          <t>채소류, 서류 및 향신작물류 도매업</t>
        </is>
      </c>
      <c r="F732" s="68" t="inlineStr">
        <is>
          <t>◦각종 채소류, 서류 및 향신작물류를 도매하는 산업활동을 말한다.
&lt;예 시&gt;
·채소(각종 나물) 도매
·고구마, 감자 도매
·마늘, 도라지, 오이, 호박 도매
&lt;제 외&gt;
·통조림 식품 도매는 육류, 과실 및 채소류, 수산물 등 종류별로 분류(512271,512289,512280)
·조제 가공식품 도매(해당 가공식품 산업활동으로 분류)
*채소(법정도매시장)(→512215)</t>
        </is>
      </c>
      <c r="G732" s="90" t="n">
        <v>94.90000000000001</v>
      </c>
      <c r="H732" s="90" t="n">
        <v>0</v>
      </c>
      <c r="I732" s="90" t="n">
        <v>1.6</v>
      </c>
    </row>
    <row r="733" ht="17.25" customHeight="1" s="66">
      <c r="A733" s="65" t="inlineStr">
        <is>
          <t>512214</t>
        </is>
      </c>
      <c r="B733" s="68" t="inlineStr">
        <is>
          <t>도매 및 소매업</t>
        </is>
      </c>
      <c r="C733" s="68" t="inlineStr">
        <is>
          <t>도매 및 상품 중개업</t>
        </is>
      </c>
      <c r="D733" s="68" t="inlineStr">
        <is>
          <t>신선 식품 및 단순 가공 식품 도매업</t>
        </is>
      </c>
      <c r="E733" s="68" t="inlineStr">
        <is>
          <t>과실류 도매업</t>
        </is>
      </c>
      <c r="F733" s="68" t="inlineStr">
        <is>
          <t>◦과실(법정도매시장)
 - 「농수산물유통 및 가격안정에 관한 법률」에 따라 설립된 도매시장(공판장포함) 중도매인(산지유통인 포함)</t>
        </is>
      </c>
      <c r="G733" s="90" t="n">
        <v>97.40000000000001</v>
      </c>
      <c r="H733" s="90" t="n">
        <v>0</v>
      </c>
      <c r="I733" s="90" t="n">
        <v>0.8</v>
      </c>
    </row>
    <row r="734" ht="17.25" customHeight="1" s="66">
      <c r="A734" s="65" t="inlineStr">
        <is>
          <t>512215</t>
        </is>
      </c>
      <c r="B734" s="68" t="inlineStr">
        <is>
          <t>도매 및 소매업</t>
        </is>
      </c>
      <c r="C734" s="68" t="inlineStr">
        <is>
          <t>도매 및 상품 중개업</t>
        </is>
      </c>
      <c r="D734" s="68" t="inlineStr">
        <is>
          <t>신선 식품 및 단순 가공 식품 도매업</t>
        </is>
      </c>
      <c r="E734" s="68" t="inlineStr">
        <is>
          <t>채소류, 서류 및 향신작물류 도매업</t>
        </is>
      </c>
      <c r="F734" s="68" t="inlineStr">
        <is>
          <t>◦채소(법정도매시장)
 - 「농수산물유통 및 가격안정에 관한 법률」에 따라 설립된 도매시장(공판장포함) 중도매인(산지유통인 포함)</t>
        </is>
      </c>
      <c r="G734" s="90" t="n">
        <v>97</v>
      </c>
      <c r="H734" s="90" t="n">
        <v>0</v>
      </c>
      <c r="I734" s="90" t="n">
        <v>1.1</v>
      </c>
    </row>
    <row r="735" ht="17.25" customHeight="1" s="66">
      <c r="A735" s="65" t="inlineStr">
        <is>
          <t>512221</t>
        </is>
      </c>
      <c r="B735" s="68" t="inlineStr">
        <is>
          <t>도매 및 소매업</t>
        </is>
      </c>
      <c r="C735" s="68" t="inlineStr">
        <is>
          <t>도매 및 상품 중개업</t>
        </is>
      </c>
      <c r="D735" s="68" t="inlineStr">
        <is>
          <t>산업용 농ㆍ축산물 및 동ㆍ식물 도매업</t>
        </is>
      </c>
      <c r="E735" s="68" t="inlineStr">
        <is>
          <t>기타 산업용 농산물 도매업</t>
        </is>
      </c>
      <c r="F735" s="68" t="inlineStr">
        <is>
          <t>◦임산물(일반)</t>
        </is>
      </c>
      <c r="G735" s="90" t="n">
        <v>95.8</v>
      </c>
      <c r="H735" s="90" t="n">
        <v>0</v>
      </c>
      <c r="I735" s="90" t="n">
        <v>3.8</v>
      </c>
    </row>
    <row r="736" ht="17.25" customHeight="1" s="66">
      <c r="A736" s="65" t="inlineStr">
        <is>
          <t>512222</t>
        </is>
      </c>
      <c r="B736" s="68" t="inlineStr">
        <is>
          <t>도매 및 소매업</t>
        </is>
      </c>
      <c r="C736" s="68" t="inlineStr">
        <is>
          <t>도매 및 상품 중개업</t>
        </is>
      </c>
      <c r="D736" s="68" t="inlineStr">
        <is>
          <t>산업용 농ㆍ축산물 및 동ㆍ식물 도매업</t>
        </is>
      </c>
      <c r="E736" s="68" t="inlineStr">
        <is>
          <t>기타 산업용 농산물 도매업</t>
        </is>
      </c>
      <c r="F736" s="68" t="inlineStr">
        <is>
          <t>◦임산물(법정도매시장)
 - 「농수산물유통 및 가격안정에 관한 법률」에 따라 설립된 도매시장(공판장 포함) 중도매인(산지유통인 포함)</t>
        </is>
      </c>
      <c r="G736" s="90" t="n">
        <v>96.3</v>
      </c>
      <c r="H736" s="90" t="n">
        <v>0</v>
      </c>
      <c r="I736" s="90" t="n">
        <v>2.2</v>
      </c>
    </row>
    <row r="737" ht="17.25" customHeight="1" s="66">
      <c r="A737" s="65" t="inlineStr">
        <is>
          <t>512223</t>
        </is>
      </c>
      <c r="B737" s="68" t="inlineStr">
        <is>
          <t>도매 및 소매업</t>
        </is>
      </c>
      <c r="C737" s="68" t="inlineStr">
        <is>
          <t>도매 및 상품 중개업</t>
        </is>
      </c>
      <c r="D737" s="68" t="inlineStr">
        <is>
          <t>신선 식품 및 단순 가공 식품 도매업</t>
        </is>
      </c>
      <c r="E737" s="68" t="inlineStr">
        <is>
          <t>육류 도매업</t>
        </is>
      </c>
      <c r="F737" s="68" t="inlineStr">
        <is>
          <t>◦가축 및 기타 육지동물의 신선◦냉장◦냉동한 도축고기를 도매하는 산업활동을 말한다.
&lt;예 시&gt;
·우육 및 돈육 도매
·가금육 도매
·기타 조류 고기 도매
·냉장육 도매
&lt;제 외&gt;
*축산물(법정도매시장)(→512224)</t>
        </is>
      </c>
      <c r="G737" s="90" t="n">
        <v>95.8</v>
      </c>
      <c r="H737" s="90" t="n">
        <v>0</v>
      </c>
      <c r="I737" s="90" t="n">
        <v>4.2</v>
      </c>
    </row>
    <row r="738" ht="17.25" customHeight="1" s="66">
      <c r="A738" s="65" t="inlineStr">
        <is>
          <t>512224</t>
        </is>
      </c>
      <c r="B738" s="68" t="inlineStr">
        <is>
          <t>도매 및 소매업</t>
        </is>
      </c>
      <c r="C738" s="68" t="inlineStr">
        <is>
          <t>도매 및 상품 중개업</t>
        </is>
      </c>
      <c r="D738" s="68" t="inlineStr">
        <is>
          <t>신선 식품 및 단순 가공 식품 도매업</t>
        </is>
      </c>
      <c r="E738" s="68" t="inlineStr">
        <is>
          <t>육류 도매업</t>
        </is>
      </c>
      <c r="F738" s="68" t="inlineStr">
        <is>
          <t>◦축산물(법정도매시장)
 - 「농수산물유통 및 가격안정에 관한 법률」에 따라 설립된 도매시장(공판장 포함) 중도매인(산지유통인 포함)</t>
        </is>
      </c>
      <c r="G738" s="90" t="n">
        <v>96.5</v>
      </c>
      <c r="H738" s="90" t="n">
        <v>0</v>
      </c>
      <c r="I738" s="90" t="n">
        <v>4.3</v>
      </c>
    </row>
    <row r="739" ht="17.25" customHeight="1" s="66">
      <c r="A739" s="65" t="inlineStr">
        <is>
          <t>512231</t>
        </is>
      </c>
      <c r="B739" s="68" t="inlineStr">
        <is>
          <t>도매 및 소매업</t>
        </is>
      </c>
      <c r="C739" s="68" t="inlineStr">
        <is>
          <t>도매 및 상품 중개업</t>
        </is>
      </c>
      <c r="D739" s="68" t="inlineStr">
        <is>
          <t>신선 식품 및 단순 가공 식품 도매업</t>
        </is>
      </c>
      <c r="E739" s="68" t="inlineStr">
        <is>
          <t>신선, 냉동 및 기타 수산물 도매업</t>
        </is>
      </c>
      <c r="F739" s="68" t="inlineStr">
        <is>
          <t>◦각종 해산물 및 민물고기 등의 살아있는 것, 신선한 것, 기타 단순 가공한 수산물을 도매하는 산업활동을 말한다.
&lt;예 시&gt;
·신선 어류 도매
·신선 해조류 도매
&lt;제 외&gt;
*냉동 수산물을 도매(→512232)
*생선(법정도매시장)(→512234)</t>
        </is>
      </c>
      <c r="G739" s="90" t="n">
        <v>95.09999999999999</v>
      </c>
      <c r="H739" s="90" t="n">
        <v>0</v>
      </c>
      <c r="I739" s="90" t="n">
        <v>2.9</v>
      </c>
    </row>
    <row r="740" ht="17.25" customHeight="1" s="66">
      <c r="A740" s="65" t="inlineStr">
        <is>
          <t>512232</t>
        </is>
      </c>
      <c r="B740" s="68" t="inlineStr">
        <is>
          <t>도매 및 소매업</t>
        </is>
      </c>
      <c r="C740" s="68" t="inlineStr">
        <is>
          <t>도매 및 상품 중개업</t>
        </is>
      </c>
      <c r="D740" s="68" t="inlineStr">
        <is>
          <t>신선 식품 및 단순 가공 식품 도매업</t>
        </is>
      </c>
      <c r="E740" s="68" t="inlineStr">
        <is>
          <t>신선, 냉동 및 기타 수산물 도매업</t>
        </is>
      </c>
      <c r="F740" s="68" t="inlineStr">
        <is>
          <t>◦각종 해산물 및 민물고기 등 냉동 수산물을 도매하는 산업활동을 말한다.
&lt;예 시&gt;
·냉동 어개류(어류, 게, 새우 등) 도매
&lt;제 외&gt;
*살아있는 것, 신선한 것, 기타 단순 가공한 수산물을 도매(→512231)
*냉동수산물(법정도매시장)(→512235)</t>
        </is>
      </c>
      <c r="G740" s="90" t="n">
        <v>95.8</v>
      </c>
      <c r="H740" s="90" t="n">
        <v>0</v>
      </c>
      <c r="I740" s="90" t="n">
        <v>3.1</v>
      </c>
    </row>
    <row r="741" ht="17.25" customHeight="1" s="66">
      <c r="A741" s="65" t="inlineStr">
        <is>
          <t>512233</t>
        </is>
      </c>
      <c r="B741" s="68" t="inlineStr">
        <is>
          <t>도매 및 소매업</t>
        </is>
      </c>
      <c r="C741" s="68" t="inlineStr">
        <is>
          <t>도매 및 상품 중개업</t>
        </is>
      </c>
      <c r="D741" s="68" t="inlineStr">
        <is>
          <t>신선 식품 및 단순 가공 식품 도매업</t>
        </is>
      </c>
      <c r="E741" s="68" t="inlineStr">
        <is>
          <t>건어물 및 젓갈류 도매업</t>
        </is>
      </c>
      <c r="F741" s="68" t="inlineStr">
        <is>
          <t>◦각종 해산물 및 민물고기 등을 건조, 염장한 수산물을 도매하는 산업활동을 말한다.
&lt;예 시&gt;
·건어물 도매
·(조미하지 않은) 젓갈류 도매
&lt;제 외&gt;
*기타수산물(법정도매시장)(→512236)</t>
        </is>
      </c>
      <c r="G741" s="90" t="n">
        <v>94</v>
      </c>
      <c r="H741" s="90" t="n">
        <v>0</v>
      </c>
      <c r="I741" s="90" t="n">
        <v>3.3</v>
      </c>
    </row>
    <row r="742" ht="17.25" customHeight="1" s="66">
      <c r="A742" s="65" t="inlineStr">
        <is>
          <t>512234</t>
        </is>
      </c>
      <c r="B742" s="68" t="inlineStr">
        <is>
          <t>도매 및 소매업</t>
        </is>
      </c>
      <c r="C742" s="68" t="inlineStr">
        <is>
          <t>도매 및 상품 중개업</t>
        </is>
      </c>
      <c r="D742" s="68" t="inlineStr">
        <is>
          <t>신선 식품 및 단순 가공 식품 도매업</t>
        </is>
      </c>
      <c r="E742" s="68" t="inlineStr">
        <is>
          <t>신선, 냉동 및 기타 수산물 도매업</t>
        </is>
      </c>
      <c r="F742" s="68" t="inlineStr">
        <is>
          <t>◦생선(법정도매시장)
 - 「농수산물유통 및 가격안정에 관한 법률」에 따라 설립된 도매시장(공판장포함) 중도매인(산지유통인 포함)</t>
        </is>
      </c>
      <c r="G742" s="90" t="n">
        <v>96.90000000000001</v>
      </c>
      <c r="H742" s="90" t="n">
        <v>0</v>
      </c>
      <c r="I742" s="90" t="n">
        <v>1.9</v>
      </c>
    </row>
    <row r="743" ht="17.25" customHeight="1" s="66">
      <c r="A743" s="65" t="inlineStr">
        <is>
          <t>512235</t>
        </is>
      </c>
      <c r="B743" s="68" t="inlineStr">
        <is>
          <t>도매 및 소매업</t>
        </is>
      </c>
      <c r="C743" s="68" t="inlineStr">
        <is>
          <t>도매 및 상품 중개업</t>
        </is>
      </c>
      <c r="D743" s="68" t="inlineStr">
        <is>
          <t>신선 식품 및 단순 가공 식품 도매업</t>
        </is>
      </c>
      <c r="E743" s="68" t="inlineStr">
        <is>
          <t>신선, 냉동 및 기타 수산물 도매업</t>
        </is>
      </c>
      <c r="F743" s="68" t="inlineStr">
        <is>
          <t>◦냉동수산물(법정도매시장)
 - 「농수산물유통 및 가격안정에 관한 법률」에 따라 설립된 도매시장(공판장포함) 중도매인(산지유통인 포함)</t>
        </is>
      </c>
      <c r="G743" s="90" t="n">
        <v>97.7</v>
      </c>
      <c r="H743" s="90" t="n">
        <v>0</v>
      </c>
      <c r="I743" s="90" t="n">
        <v>2.7</v>
      </c>
    </row>
    <row r="744" ht="17.25" customHeight="1" s="66">
      <c r="A744" s="65" t="inlineStr">
        <is>
          <t>512236</t>
        </is>
      </c>
      <c r="B744" s="68" t="inlineStr">
        <is>
          <t>도매 및 소매업</t>
        </is>
      </c>
      <c r="C744" s="68" t="inlineStr">
        <is>
          <t>도매 및 상품 중개업</t>
        </is>
      </c>
      <c r="D744" s="68" t="inlineStr">
        <is>
          <t>신선 식품 및 단순 가공 식품 도매업</t>
        </is>
      </c>
      <c r="E744" s="68" t="inlineStr">
        <is>
          <t>건어물 및 젓갈류 도매업</t>
        </is>
      </c>
      <c r="F744" s="68" t="inlineStr">
        <is>
          <t>◦기타수산물(법정도매시장)
 - 「농수산물유통 및 가격안정에 관한 법률」에 따라 설립된 도매시장(공판장포함) 중도매인(산지유통인 포함)</t>
        </is>
      </c>
      <c r="G744" s="90" t="n">
        <v>96.90000000000001</v>
      </c>
      <c r="H744" s="90" t="n">
        <v>0</v>
      </c>
      <c r="I744" s="90" t="n">
        <v>1.6</v>
      </c>
    </row>
    <row r="745" ht="17.25" customHeight="1" s="66">
      <c r="A745" s="65" t="inlineStr">
        <is>
          <t>512241</t>
        </is>
      </c>
      <c r="B745" s="68" t="inlineStr">
        <is>
          <t>도매 및 소매업</t>
        </is>
      </c>
      <c r="C745" s="68" t="inlineStr">
        <is>
          <t>도매 및 상품 중개업</t>
        </is>
      </c>
      <c r="D745" s="68" t="inlineStr">
        <is>
          <t>가공식품 도매업</t>
        </is>
      </c>
      <c r="E745" s="68" t="inlineStr">
        <is>
          <t>빵류, 과자류, 당류, 초콜릿 도매업</t>
        </is>
      </c>
      <c r="F745" s="68" t="inlineStr">
        <is>
          <t>◦당류 등을 도매하는 산업활동을 말한다.
&lt;예 시&gt;
·설탕 및 당류 도매
&lt;제 외&gt;
*빵류 도매(→512242)
*케이크, 도넛, 파이, 기타 고급빵 등 도매(→512243)
*과자류, 초콜릿 등 도매(→512244)</t>
        </is>
      </c>
      <c r="G745" s="90" t="n">
        <v>95.59999999999999</v>
      </c>
      <c r="H745" s="90" t="n">
        <v>0</v>
      </c>
      <c r="I745" s="90" t="n">
        <v>2.5</v>
      </c>
    </row>
    <row r="746" ht="17.25" customHeight="1" s="66">
      <c r="A746" s="65" t="inlineStr">
        <is>
          <t>512242</t>
        </is>
      </c>
      <c r="B746" s="68" t="inlineStr">
        <is>
          <t>도매 및 소매업</t>
        </is>
      </c>
      <c r="C746" s="68" t="inlineStr">
        <is>
          <t>도매 및 상품 중개업</t>
        </is>
      </c>
      <c r="D746" s="68" t="inlineStr">
        <is>
          <t>가공식품 도매업</t>
        </is>
      </c>
      <c r="E746" s="68" t="inlineStr">
        <is>
          <t>빵류, 과자류, 당류, 초콜릿 도매업</t>
        </is>
      </c>
      <c r="F746" s="68" t="inlineStr">
        <is>
          <t>◦빵류를 도매하는 산업활동을 말한다.
&lt;예 시&gt;
·빵가루 도매
·식빵 및 과자빵 도매
&lt;제 외&gt;
*당류 등 도매(→512241)
*케이크, 도넛, 파이, 기타 고급빵 등 도매(→512243)
*과자류, 초콜릿 등 도매(→512244)</t>
        </is>
      </c>
      <c r="G746" s="90" t="n">
        <v>95.7</v>
      </c>
      <c r="H746" s="90" t="n">
        <v>0</v>
      </c>
      <c r="I746" s="90" t="n">
        <v>4.4</v>
      </c>
    </row>
    <row r="747" ht="17.25" customHeight="1" s="66">
      <c r="A747" s="65" t="inlineStr">
        <is>
          <t>512243</t>
        </is>
      </c>
      <c r="B747" s="68" t="inlineStr">
        <is>
          <t>도매 및 소매업</t>
        </is>
      </c>
      <c r="C747" s="68" t="inlineStr">
        <is>
          <t>도매 및 상품 중개업</t>
        </is>
      </c>
      <c r="D747" s="68" t="inlineStr">
        <is>
          <t>가공식품 도매업</t>
        </is>
      </c>
      <c r="E747" s="68" t="inlineStr">
        <is>
          <t>빵류, 과자류, 당류, 초콜릿 도매업</t>
        </is>
      </c>
      <c r="F747" s="68" t="inlineStr">
        <is>
          <t>◦케이크, 도넛, 파이, 기타 고급빵 등을 도매하는 산업활동을 말한다.
&lt;예 시&gt;
·햄버거 도매
·피자 도매
&lt;제 외&gt;
*당류 등 도매(→512241)
*빵류 도매(→512242)
*과자류, 초콜릿 등 도매(→512244)</t>
        </is>
      </c>
      <c r="G747" s="90" t="n">
        <v>93.40000000000001</v>
      </c>
      <c r="H747" s="90" t="n">
        <v>0</v>
      </c>
      <c r="I747" s="90" t="n">
        <v>4</v>
      </c>
    </row>
    <row r="748" ht="17.25" customHeight="1" s="66">
      <c r="A748" s="65" t="inlineStr">
        <is>
          <t>512244</t>
        </is>
      </c>
      <c r="B748" s="68" t="inlineStr">
        <is>
          <t>도매 및 소매업</t>
        </is>
      </c>
      <c r="C748" s="68" t="inlineStr">
        <is>
          <t>도매 및 상품 중개업</t>
        </is>
      </c>
      <c r="D748" s="68" t="inlineStr">
        <is>
          <t>가공식품 도매업</t>
        </is>
      </c>
      <c r="E748" s="68" t="inlineStr">
        <is>
          <t>빵류, 과자류, 당류, 초콜릿 도매업</t>
        </is>
      </c>
      <c r="F748" s="68" t="inlineStr">
        <is>
          <t>◦과자류, 초콜릿 등을 도매하는 산업활동을 말한다.
&lt;예 시&gt;
·비스킷 및 크래커 도매
·사탕 및 캔디 도매
·초콜릿 및 껌 도매
·코코아 분말 및 조제품 도매
&lt;제 외&gt;
*당류 등 도매(→512241)
*빵류 도매(→512242)
*케이크, 도넛, 파이, 기타 고급빵 등 도매(→512243)</t>
        </is>
      </c>
      <c r="G748" s="90" t="n">
        <v>95.09999999999999</v>
      </c>
      <c r="H748" s="90" t="n">
        <v>0</v>
      </c>
      <c r="I748" s="90" t="n">
        <v>3.6</v>
      </c>
    </row>
    <row r="749" ht="17.25" customHeight="1" s="66">
      <c r="A749" s="65" t="inlineStr">
        <is>
          <t>512245</t>
        </is>
      </c>
      <c r="B749" s="68" t="inlineStr">
        <is>
          <t>도매 및 소매업</t>
        </is>
      </c>
      <c r="C749" s="68" t="inlineStr">
        <is>
          <t>도매 및 상품 중개업</t>
        </is>
      </c>
      <c r="D749" s="68" t="inlineStr">
        <is>
          <t>가공식품 도매업</t>
        </is>
      </c>
      <c r="E749" s="68" t="inlineStr">
        <is>
          <t>낙농품 및 동ㆍ식물성 유지 도매업</t>
        </is>
      </c>
      <c r="F749" s="68" t="inlineStr">
        <is>
          <t>◦식용 빙과 도매
&lt;예 시&gt;
·아이스크림 도매
·빙과류 도매</t>
        </is>
      </c>
      <c r="G749" s="90" t="n">
        <v>95.09999999999999</v>
      </c>
      <c r="H749" s="90" t="n">
        <v>0</v>
      </c>
      <c r="I749" s="90" t="n">
        <v>3.5</v>
      </c>
    </row>
    <row r="750" ht="17.25" customHeight="1" s="66">
      <c r="A750" s="65" t="inlineStr">
        <is>
          <t>512251</t>
        </is>
      </c>
      <c r="B750" s="68" t="inlineStr">
        <is>
          <t>도매 및 소매업</t>
        </is>
      </c>
      <c r="C750" s="68" t="inlineStr">
        <is>
          <t>도매 및 상품 중개업</t>
        </is>
      </c>
      <c r="D750" s="68" t="inlineStr">
        <is>
          <t>음료 및 담배 도매업</t>
        </is>
      </c>
      <c r="E750" s="68" t="inlineStr">
        <is>
          <t>주류 도매업</t>
        </is>
      </c>
      <c r="F750" s="68" t="inlineStr">
        <is>
          <t>◦약주, 탁주
&lt;예 시&gt;
·곡주, 과실주, 막걸리, 민속주, 발효주</t>
        </is>
      </c>
      <c r="G750" s="90" t="n">
        <v>95.09999999999999</v>
      </c>
      <c r="H750" s="90" t="n">
        <v>0</v>
      </c>
      <c r="I750" s="90" t="n">
        <v>2.5</v>
      </c>
    </row>
    <row r="751" ht="17.25" customHeight="1" s="66">
      <c r="A751" s="65" t="inlineStr">
        <is>
          <t>512252</t>
        </is>
      </c>
      <c r="B751" s="68" t="inlineStr">
        <is>
          <t>도매 및 소매업</t>
        </is>
      </c>
      <c r="C751" s="68" t="inlineStr">
        <is>
          <t>도매 및 상품 중개업</t>
        </is>
      </c>
      <c r="D751" s="68" t="inlineStr">
        <is>
          <t>음료 및 담배 도매업</t>
        </is>
      </c>
      <c r="E751" s="68" t="inlineStr">
        <is>
          <t>주류 도매업</t>
        </is>
      </c>
      <c r="F751" s="68" t="inlineStr">
        <is>
          <t>◦양주(국산양주포함), 맥주, 청주, 소주, 고량주 등의 알콜성 음료를 도매하는 산업활동을 말한다. 약주 및 탁주는 제외한다.
&lt;예 시&gt;
·꼬낙, 위스키, 증류주, 포도주, 합성주
&lt;제 외&gt;
*약주, 탁주(→512251)</t>
        </is>
      </c>
      <c r="G751" s="90" t="n">
        <v>94.7</v>
      </c>
      <c r="H751" s="90" t="n">
        <v>0</v>
      </c>
      <c r="I751" s="90" t="n">
        <v>3.6</v>
      </c>
    </row>
    <row r="752" ht="17.25" customHeight="1" s="66">
      <c r="A752" s="65" t="inlineStr">
        <is>
          <t>512260</t>
        </is>
      </c>
      <c r="B752" s="68" t="inlineStr">
        <is>
          <t>도매 및 소매업</t>
        </is>
      </c>
      <c r="C752" s="68" t="inlineStr">
        <is>
          <t>도매 및 상품 중개업</t>
        </is>
      </c>
      <c r="D752" s="68" t="inlineStr">
        <is>
          <t>음료 및 담배 도매업</t>
        </is>
      </c>
      <c r="E752" s="68" t="inlineStr">
        <is>
          <t>비알코올 음료 도매업</t>
        </is>
      </c>
      <c r="F752" s="68" t="inlineStr">
        <is>
          <t>◦생수, 천연 또는 인조 탄산수, 과실 등을 가미한 비알코올 음료를 도매하는 산업활동을 말한다. 얼음, 음료용 캔커피 및 음료용 차류의 도매활동도 포함한다.
&lt;예 시&gt;
·과실 주스 도매
·드링크제(비의약품) 도매
·탄산 음료 도매
·청량 음료 도매
·캔 음료 도매
·비알코올 음료 원액 도매
·차 음료(홍차, 녹차 등) 도매
·맥아 추출물 도매
&lt;제 외&gt;
·인삼차, 율무차(분말) 도매(512273)
·우유(512282), 요구르트(512294) 및 아이스크림(512245) 등 낙농제품 도매</t>
        </is>
      </c>
      <c r="G752" s="90" t="n">
        <v>93.7</v>
      </c>
      <c r="H752" s="90" t="n">
        <v>0</v>
      </c>
      <c r="I752" s="90" t="n">
        <v>3.8</v>
      </c>
    </row>
    <row r="753" ht="17.25" customHeight="1" s="66">
      <c r="A753" s="65" t="inlineStr">
        <is>
          <t>512271</t>
        </is>
      </c>
      <c r="B753" s="68" t="inlineStr">
        <is>
          <t>도매 및 소매업</t>
        </is>
      </c>
      <c r="C753" s="68" t="inlineStr">
        <is>
          <t>도매 및 상품 중개업</t>
        </is>
      </c>
      <c r="D753" s="68" t="inlineStr">
        <is>
          <t>가공식품 도매업</t>
        </is>
      </c>
      <c r="E753" s="68" t="inlineStr">
        <is>
          <t>육류 가공식품 도매업</t>
        </is>
      </c>
      <c r="F753" s="68" t="inlineStr">
        <is>
          <t>◦가축 및 기타 육지동물의 도축고기를 가공하여 만든 식품을 도매하는 산업활동을 말한다.
&lt;예 시&gt;
·육류 통조림 도매
·햄 및 소시지 도매
·가금육 통조림 도매
·베이컨 도매
·육류 훈제식품 도매</t>
        </is>
      </c>
      <c r="G753" s="90" t="n">
        <v>95.8</v>
      </c>
      <c r="H753" s="90" t="n">
        <v>0</v>
      </c>
      <c r="I753" s="90" t="n">
        <v>2.8</v>
      </c>
    </row>
    <row r="754" ht="17.25" customHeight="1" s="66">
      <c r="A754" s="65" t="inlineStr">
        <is>
          <t>512272</t>
        </is>
      </c>
      <c r="B754" s="68" t="inlineStr">
        <is>
          <t>도매 및 소매업</t>
        </is>
      </c>
      <c r="C754" s="68" t="inlineStr">
        <is>
          <t>도매 및 상품 중개업</t>
        </is>
      </c>
      <c r="D754" s="68" t="inlineStr">
        <is>
          <t>가공식품 도매업</t>
        </is>
      </c>
      <c r="E754" s="68" t="inlineStr">
        <is>
          <t>조미료 도매업</t>
        </is>
      </c>
      <c r="F754" s="68" t="inlineStr">
        <is>
          <t>◦조미료 및 식품 첨가물을 도매하는 산업활동을 말한다.
&lt;예 시&gt;
·간장 및 케첩 도매
·조미료 및 감미제 도매
·향신료 도매
·장류 도매   
·베이킹 파우더
·커피프리머
·가공소금(죽염) 도매</t>
        </is>
      </c>
      <c r="G754" s="90" t="n">
        <v>94.90000000000001</v>
      </c>
      <c r="H754" s="90" t="n">
        <v>0</v>
      </c>
      <c r="I754" s="90" t="n">
        <v>2.8</v>
      </c>
    </row>
    <row r="755" ht="17.25" customHeight="1" s="66">
      <c r="A755" s="65" t="inlineStr">
        <is>
          <t>512273</t>
        </is>
      </c>
      <c r="B755" s="68" t="inlineStr">
        <is>
          <t>도매 및 소매업</t>
        </is>
      </c>
      <c r="C755" s="68" t="inlineStr">
        <is>
          <t>도매 및 상품 중개업</t>
        </is>
      </c>
      <c r="D755" s="68" t="inlineStr">
        <is>
          <t>가공식품 도매업</t>
        </is>
      </c>
      <c r="E755" s="68" t="inlineStr">
        <is>
          <t>커피 및 차류 도매업</t>
        </is>
      </c>
      <c r="F755" s="68" t="inlineStr">
        <is>
          <t>◦커피 및 차류 등의 가공 식료품을 도매하는 산업활동을 말한다.
&lt;예 시&gt;
·볶은 커피, 커피 농축물 및 조제품 도매
·홍차, 대용차류, 차류 조제품 도매
&lt;제 외&gt;
·캔 커피 및 차 음료 도매(512260)</t>
        </is>
      </c>
      <c r="G755" s="90" t="n">
        <v>94.59999999999999</v>
      </c>
      <c r="H755" s="90" t="n">
        <v>0</v>
      </c>
      <c r="I755" s="90" t="n">
        <v>5.5</v>
      </c>
    </row>
    <row r="756" ht="17.25" customHeight="1" s="66">
      <c r="A756" s="65" t="inlineStr">
        <is>
          <t>512274</t>
        </is>
      </c>
      <c r="B756" s="68" t="inlineStr">
        <is>
          <t>도매 및 소매업</t>
        </is>
      </c>
      <c r="C756" s="68" t="inlineStr">
        <is>
          <t>도매 및 상품 중개업</t>
        </is>
      </c>
      <c r="D756" s="68" t="inlineStr">
        <is>
          <t>가공식품 도매업</t>
        </is>
      </c>
      <c r="E756" s="68" t="inlineStr">
        <is>
          <t>기타 가공식품 도매업</t>
        </is>
      </c>
      <c r="F756" s="68" t="inlineStr">
        <is>
          <t>◦라면</t>
        </is>
      </c>
      <c r="G756" s="90" t="n">
        <v>97.09999999999999</v>
      </c>
      <c r="H756" s="90" t="n">
        <v>0</v>
      </c>
      <c r="I756" s="90" t="n">
        <v>1.7</v>
      </c>
    </row>
    <row r="757" ht="17.25" customHeight="1" s="66">
      <c r="A757" s="65" t="inlineStr">
        <is>
          <t>512279</t>
        </is>
      </c>
      <c r="B757" s="68" t="inlineStr">
        <is>
          <t>도매 및 소매업</t>
        </is>
      </c>
      <c r="C757" s="68" t="inlineStr">
        <is>
          <t>도매 및 상품 중개업</t>
        </is>
      </c>
      <c r="D757" s="68" t="inlineStr">
        <is>
          <t>가공식품 도매업</t>
        </is>
      </c>
      <c r="E757" s="68" t="inlineStr">
        <is>
          <t>기타 가공식품 도매업</t>
        </is>
      </c>
      <c r="F757" s="68" t="inlineStr">
        <is>
          <t>◦국수 및 인스턴트 면류 등의 가공식품을 도매하는 산업활동을 말한다.
&lt;예 시&gt;
·건면, 냉동국수, 스파게티, 쌀국수 도매
·인조미, 당면 도매
&lt;제 외&gt;
*라면(→512274)</t>
        </is>
      </c>
      <c r="G757" s="90" t="n">
        <v>94.40000000000001</v>
      </c>
      <c r="H757" s="90" t="n">
        <v>0</v>
      </c>
      <c r="I757" s="90" t="n">
        <v>3.3</v>
      </c>
    </row>
    <row r="758" ht="17.25" customHeight="1" s="66">
      <c r="A758" s="65" t="inlineStr">
        <is>
          <t>512280</t>
        </is>
      </c>
      <c r="B758" s="68" t="inlineStr">
        <is>
          <t>도매 및 소매업</t>
        </is>
      </c>
      <c r="C758" s="68" t="inlineStr">
        <is>
          <t>도매 및 상품 중개업</t>
        </is>
      </c>
      <c r="D758" s="68" t="inlineStr">
        <is>
          <t>가공식품 도매업</t>
        </is>
      </c>
      <c r="E758" s="68" t="inlineStr">
        <is>
          <t>기타 가공식품 도매업</t>
        </is>
      </c>
      <c r="F758" s="68" t="inlineStr">
        <is>
          <t>◦과실 및 채소 가공식품을 도매하는 산업활동을 말한다.
&lt;예 시&gt;
·피클도매
·과일 통조림 도매
·깻잎 및 장아찌 통조림 제품 도매
&lt;제 외&gt;
*김치, 단무지(→512295)</t>
        </is>
      </c>
      <c r="G758" s="90" t="n">
        <v>95.8</v>
      </c>
      <c r="H758" s="90" t="n">
        <v>0</v>
      </c>
      <c r="I758" s="90" t="n">
        <v>3.3</v>
      </c>
    </row>
    <row r="759" ht="17.25" customHeight="1" s="66">
      <c r="A759" s="65" t="inlineStr">
        <is>
          <t>512281</t>
        </is>
      </c>
      <c r="B759" s="68" t="inlineStr">
        <is>
          <t>도매 및 소매업</t>
        </is>
      </c>
      <c r="C759" s="68" t="inlineStr">
        <is>
          <t>도매 및 상품 중개업</t>
        </is>
      </c>
      <c r="D759" s="68" t="inlineStr">
        <is>
          <t>신선 식품 및 단순 가공 식품 도매업</t>
        </is>
      </c>
      <c r="E759" s="68" t="inlineStr">
        <is>
          <t>기타 신선 식품 및 단순 가공 식품 도매업</t>
        </is>
      </c>
      <c r="F759" s="68" t="inlineStr">
        <is>
          <t>◦기타 가공하지 않은 식품이나 냉동◦건조◦염장 등과 같은 단순 가공한 식품을 도매하는 산업활동을 말한다.
&lt;예 시&gt;
·벌꿀 도매
·조란 도매
·식용 소금(천일염 포함) 도매</t>
        </is>
      </c>
      <c r="G759" s="90" t="n">
        <v>96.5</v>
      </c>
      <c r="H759" s="90" t="n">
        <v>0</v>
      </c>
      <c r="I759" s="90" t="n">
        <v>2.7</v>
      </c>
    </row>
    <row r="760" ht="17.25" customHeight="1" s="66">
      <c r="A760" s="65" t="inlineStr">
        <is>
          <t>512282</t>
        </is>
      </c>
      <c r="B760" s="68" t="inlineStr">
        <is>
          <t>도매 및 소매업</t>
        </is>
      </c>
      <c r="C760" s="68" t="inlineStr">
        <is>
          <t>도매 및 상품 중개업</t>
        </is>
      </c>
      <c r="D760" s="68" t="inlineStr">
        <is>
          <t>가공식품 도매업</t>
        </is>
      </c>
      <c r="E760" s="68" t="inlineStr">
        <is>
          <t>낙농품 및 동ㆍ식물성 유지 도매업</t>
        </is>
      </c>
      <c r="F760" s="68" t="inlineStr">
        <is>
          <t>◦젖을 살균◦분리◦농축◦건조◦냉동 및 기타 가공하여 생산된 액상 및 기타 형태의 각종 식용 유제품을 도매하는 산업활동을 말한다. 조란 가공제품을 도매하는 산업활동도 포함한다. 식용빙과, 분유, 발효유는 제외한다.
&lt;예 시&gt;
·액상 시유 도매
·우유 분리제품 도매
·탈지유 도매
·생크림 도매
·가당 우유 도매
·연유 및 농축유 도매
&lt;제 외&gt;
*식용 빙과 도매(→512245)
*분유 도매(→512290)
*발효유(야쿠르트) 및 치즈(→512294)</t>
        </is>
      </c>
      <c r="G760" s="90" t="n">
        <v>94.3</v>
      </c>
      <c r="H760" s="90" t="n">
        <v>0</v>
      </c>
      <c r="I760" s="90" t="n">
        <v>3.1</v>
      </c>
    </row>
    <row r="761" ht="17.25" customHeight="1" s="66">
      <c r="A761" s="65" t="inlineStr">
        <is>
          <t>512283</t>
        </is>
      </c>
      <c r="B761" s="68" t="inlineStr">
        <is>
          <t>도매 및 소매업</t>
        </is>
      </c>
      <c r="C761" s="68" t="inlineStr">
        <is>
          <t>도매 및 상품 중개업</t>
        </is>
      </c>
      <c r="D761" s="68" t="inlineStr">
        <is>
          <t>가공식품 도매업</t>
        </is>
      </c>
      <c r="E761" s="68" t="inlineStr">
        <is>
          <t>낙농품 및 동ㆍ식물성 유지 도매업</t>
        </is>
      </c>
      <c r="F761" s="68" t="inlineStr">
        <is>
          <t>◦식물성 유지를 도매하는 산업활동을 말한다.
&lt;예 시&gt;
·식물성유지, 참기름
&lt;제 외&gt;
*동물성유지제품(→512285)</t>
        </is>
      </c>
      <c r="G761" s="90" t="n">
        <v>97.5</v>
      </c>
      <c r="H761" s="90" t="n">
        <v>0</v>
      </c>
      <c r="I761" s="90" t="n">
        <v>2.3</v>
      </c>
    </row>
    <row r="762" ht="17.25" customHeight="1" s="66">
      <c r="A762" s="65" t="inlineStr">
        <is>
          <t>512284</t>
        </is>
      </c>
      <c r="B762" s="68" t="inlineStr">
        <is>
          <t>도매 및 소매업</t>
        </is>
      </c>
      <c r="C762" s="68" t="inlineStr">
        <is>
          <t>도매 및 상품 중개업</t>
        </is>
      </c>
      <c r="D762" s="68" t="inlineStr">
        <is>
          <t>가공식품 도매업</t>
        </is>
      </c>
      <c r="E762" s="68" t="inlineStr">
        <is>
          <t>기타 가공식품 도매업</t>
        </is>
      </c>
      <c r="F762" s="68" t="inlineStr">
        <is>
          <t>◦기타 가공식품을 도매하는 산업활동을 말한다.
&lt;예 시&gt;
·만두, 물엿, 녹말(전분)도매</t>
        </is>
      </c>
      <c r="G762" s="90" t="n">
        <v>95.09999999999999</v>
      </c>
      <c r="H762" s="90" t="n">
        <v>0</v>
      </c>
      <c r="I762" s="90" t="n">
        <v>3.9</v>
      </c>
    </row>
    <row r="763" ht="17.25" customHeight="1" s="66">
      <c r="A763" s="65" t="inlineStr">
        <is>
          <t>512285</t>
        </is>
      </c>
      <c r="B763" s="68" t="inlineStr">
        <is>
          <t>도매 및 소매업</t>
        </is>
      </c>
      <c r="C763" s="68" t="inlineStr">
        <is>
          <t>도매 및 상품 중개업</t>
        </is>
      </c>
      <c r="D763" s="68" t="inlineStr">
        <is>
          <t>가공식품 도매업</t>
        </is>
      </c>
      <c r="E763" s="68" t="inlineStr">
        <is>
          <t>낙농품 및 동ㆍ식물성 유지 도매업</t>
        </is>
      </c>
      <c r="F763" s="68" t="inlineStr">
        <is>
          <t>◦동물성 유지를 도매하는 산업활동을 말한다.
&lt;예 시&gt;
·동물성유지제품
&lt;제 외&gt;
*식물성유지, 참기름(→512283)</t>
        </is>
      </c>
      <c r="G763" s="90" t="n">
        <v>91.09999999999999</v>
      </c>
      <c r="H763" s="90" t="n">
        <v>0</v>
      </c>
      <c r="I763" s="90" t="n">
        <v>2.2</v>
      </c>
    </row>
    <row r="764" ht="17.25" customHeight="1" s="66">
      <c r="A764" s="65" t="inlineStr">
        <is>
          <t>512286</t>
        </is>
      </c>
      <c r="B764" s="68" t="inlineStr">
        <is>
          <t>도매 및 소매업</t>
        </is>
      </c>
      <c r="C764" s="68" t="inlineStr">
        <is>
          <t>도매 및 상품 중개업</t>
        </is>
      </c>
      <c r="D764" s="68" t="inlineStr">
        <is>
          <t>음료 및 담배 도매업</t>
        </is>
      </c>
      <c r="E764" s="68" t="inlineStr">
        <is>
          <t>담배 도매업</t>
        </is>
      </c>
      <c r="F764" s="68" t="inlineStr">
        <is>
          <t>◦필터 담배, 궐련, 각연(살담배), 판상엽, 여송연(시가) 등 각종 담배제품을 도매하는 산업활동을 말한다.</t>
        </is>
      </c>
      <c r="G764" s="90" t="n">
        <v>95.3</v>
      </c>
      <c r="H764" s="90" t="n">
        <v>0</v>
      </c>
      <c r="I764" s="90" t="n">
        <v>0.8</v>
      </c>
    </row>
    <row r="765" ht="17.25" customHeight="1" s="66">
      <c r="A765" s="65" t="inlineStr">
        <is>
          <t>512287</t>
        </is>
      </c>
      <c r="B765" s="68" t="inlineStr">
        <is>
          <t>도매 및 소매업</t>
        </is>
      </c>
      <c r="C765" s="68" t="inlineStr">
        <is>
          <t>도매 및 상품 중개업</t>
        </is>
      </c>
      <c r="D765" s="68" t="inlineStr">
        <is>
          <t>가공식품 도매업</t>
        </is>
      </c>
      <c r="E765" s="68" t="inlineStr">
        <is>
          <t>기타 가공식품 도매업</t>
        </is>
      </c>
      <c r="F765" s="68" t="inlineStr">
        <is>
          <t>◦꿀, 영지버섯 등 조제 건강식품을 도매하는 산업활동을 말한다.
&lt;제 외&gt;
*인삼제품(→512288)</t>
        </is>
      </c>
      <c r="G765" s="90" t="n">
        <v>89.40000000000001</v>
      </c>
      <c r="H765" s="90" t="n">
        <v>0</v>
      </c>
      <c r="I765" s="90" t="n">
        <v>7</v>
      </c>
    </row>
    <row r="766" ht="17.25" customHeight="1" s="66">
      <c r="A766" s="65" t="inlineStr">
        <is>
          <t>512288</t>
        </is>
      </c>
      <c r="B766" s="68" t="inlineStr">
        <is>
          <t>도매 및 소매업</t>
        </is>
      </c>
      <c r="C766" s="68" t="inlineStr">
        <is>
          <t>도매 및 상품 중개업</t>
        </is>
      </c>
      <c r="D766" s="68" t="inlineStr">
        <is>
          <t>가공식품 도매업</t>
        </is>
      </c>
      <c r="E766" s="68" t="inlineStr">
        <is>
          <t>기타 가공식품 도매업</t>
        </is>
      </c>
      <c r="F766" s="68" t="inlineStr">
        <is>
          <t>◦인삼제품</t>
        </is>
      </c>
      <c r="G766" s="90" t="n">
        <v>93.2</v>
      </c>
      <c r="H766" s="90" t="n">
        <v>0</v>
      </c>
      <c r="I766" s="90" t="n">
        <v>3.1</v>
      </c>
    </row>
    <row r="767" ht="17.25" customHeight="1" s="66">
      <c r="A767" s="65" t="inlineStr">
        <is>
          <t>512289</t>
        </is>
      </c>
      <c r="B767" s="68" t="inlineStr">
        <is>
          <t>도매 및 소매업</t>
        </is>
      </c>
      <c r="C767" s="68" t="inlineStr">
        <is>
          <t>도매 및 상품 중개업</t>
        </is>
      </c>
      <c r="D767" s="68" t="inlineStr">
        <is>
          <t>가공식품 도매업</t>
        </is>
      </c>
      <c r="E767" s="68" t="inlineStr">
        <is>
          <t>수산물 가공식품 도매업</t>
        </is>
      </c>
      <c r="F767" s="68" t="inlineStr">
        <is>
          <t>◦해산물 및 민물고기 등 수산물의 가공식품을 도매하는 산업활동을 말한다.
&lt;예 시&gt;
·물고기 통조림 도매
·어묵 도매
·수산물 액젓 도매
·구운 김 도매
·맛살 도매
·훈제 어류 도매</t>
        </is>
      </c>
      <c r="G767" s="90" t="n">
        <v>93.90000000000001</v>
      </c>
      <c r="H767" s="90" t="n">
        <v>0</v>
      </c>
      <c r="I767" s="90" t="n">
        <v>2.6</v>
      </c>
    </row>
    <row r="768" ht="17.25" customHeight="1" s="66">
      <c r="A768" s="65" t="inlineStr">
        <is>
          <t>512290</t>
        </is>
      </c>
      <c r="B768" s="68" t="inlineStr">
        <is>
          <t>도매 및 소매업</t>
        </is>
      </c>
      <c r="C768" s="68" t="inlineStr">
        <is>
          <t>도매 및 상품 중개업</t>
        </is>
      </c>
      <c r="D768" s="68" t="inlineStr">
        <is>
          <t>가공식품 도매업</t>
        </is>
      </c>
      <c r="E768" s="68" t="inlineStr">
        <is>
          <t>낙농품 및 동ㆍ식물성 유지 도매업</t>
        </is>
      </c>
      <c r="F768" s="68" t="inlineStr">
        <is>
          <t>◦분유 도매
&lt;예 시&gt;
·전지분유
·탈지분유</t>
        </is>
      </c>
      <c r="G768" s="90" t="n">
        <v>96.5</v>
      </c>
      <c r="H768" s="90" t="n">
        <v>0</v>
      </c>
      <c r="I768" s="90" t="n">
        <v>2.7</v>
      </c>
    </row>
    <row r="769" ht="17.25" customHeight="1" s="66">
      <c r="A769" s="65" t="inlineStr">
        <is>
          <t>512293</t>
        </is>
      </c>
      <c r="B769" s="68" t="inlineStr">
        <is>
          <t>예술, 스포츠 및 여가관련 서비스업</t>
        </is>
      </c>
      <c r="C769" s="68" t="inlineStr">
        <is>
          <t>스포츠 및 오락관련 서비스업</t>
        </is>
      </c>
      <c r="D769" s="68" t="inlineStr">
        <is>
          <t>사행시설 관리 및 운영업</t>
        </is>
      </c>
      <c r="E769" s="68" t="inlineStr">
        <is>
          <t>복권 발행 및 판매업</t>
        </is>
      </c>
      <c r="F769" s="68" t="inlineStr">
        <is>
          <t>◦각종 복권을 도매하는 산업활동을 말한다.
&lt;예 시&gt;
·복권 판매소(도매)
&lt;제 외&gt;
*각종 복권 소매(→522082)
*각종 복권 발행(→924906)</t>
        </is>
      </c>
      <c r="G769" s="90" t="n">
        <v>95.3</v>
      </c>
      <c r="H769" s="90" t="n">
        <v>0</v>
      </c>
      <c r="I769" s="90" t="n">
        <v>1.8</v>
      </c>
    </row>
    <row r="770" ht="17.25" customHeight="1" s="66">
      <c r="A770" s="65" t="inlineStr">
        <is>
          <t>512294</t>
        </is>
      </c>
      <c r="B770" s="68" t="inlineStr">
        <is>
          <t>도매 및 소매업</t>
        </is>
      </c>
      <c r="C770" s="68" t="inlineStr">
        <is>
          <t>도매 및 상품 중개업</t>
        </is>
      </c>
      <c r="D770" s="68" t="inlineStr">
        <is>
          <t>가공식품 도매업</t>
        </is>
      </c>
      <c r="E770" s="68" t="inlineStr">
        <is>
          <t>낙농품 및 동ㆍ식물성 유지 도매업</t>
        </is>
      </c>
      <c r="F770" s="68" t="inlineStr">
        <is>
          <t xml:space="preserve">◦발효유(야쿠르트) 및 치즈
</t>
        </is>
      </c>
      <c r="G770" s="90" t="n">
        <v>93.90000000000001</v>
      </c>
      <c r="H770" s="90" t="n">
        <v>0</v>
      </c>
      <c r="I770" s="90" t="n">
        <v>4.2</v>
      </c>
    </row>
    <row r="771" ht="17.25" customHeight="1" s="66">
      <c r="A771" s="65" t="inlineStr">
        <is>
          <t>512295</t>
        </is>
      </c>
      <c r="B771" s="68" t="inlineStr">
        <is>
          <t>도매 및 소매업</t>
        </is>
      </c>
      <c r="C771" s="68" t="inlineStr">
        <is>
          <t>도매 및 상품 중개업</t>
        </is>
      </c>
      <c r="D771" s="68" t="inlineStr">
        <is>
          <t>가공식품 도매업</t>
        </is>
      </c>
      <c r="E771" s="68" t="inlineStr">
        <is>
          <t>기타 가공식품 도매업</t>
        </is>
      </c>
      <c r="F771" s="68" t="inlineStr">
        <is>
          <t>◦김치, 단무지</t>
        </is>
      </c>
      <c r="G771" s="90" t="n">
        <v>93.90000000000001</v>
      </c>
      <c r="H771" s="90" t="n">
        <v>0</v>
      </c>
      <c r="I771" s="90" t="n">
        <v>3</v>
      </c>
    </row>
    <row r="772" ht="17.25" customHeight="1" s="66">
      <c r="A772" s="65" t="inlineStr">
        <is>
          <t>513111</t>
        </is>
      </c>
      <c r="B772" s="68" t="inlineStr">
        <is>
          <t>도매 및 소매업</t>
        </is>
      </c>
      <c r="C772" s="68" t="inlineStr">
        <is>
          <t>도매 및 상품 중개업</t>
        </is>
      </c>
      <c r="D772" s="68" t="inlineStr">
        <is>
          <t>생활용 섬유제품, 의복, 의복 액세서리 및 모피제품 도매업</t>
        </is>
      </c>
      <c r="E772" s="68" t="inlineStr">
        <is>
          <t>생활용 섬유 및 실 도매업</t>
        </is>
      </c>
      <c r="F772" s="68" t="inlineStr">
        <is>
          <t>◦소매용으로 포장된 섬유(솜), 사(실)를 도매하는 산업활동을 말한다.
&lt;예 시&gt;
·섬유(솜) 도매
·연사 도매
·자수실(재봉사) 도매
&lt;제 외&gt;
·직물 및 방직(산업)용 섬유 또는 사 도매(514961,514969)</t>
        </is>
      </c>
      <c r="G772" s="90" t="n">
        <v>95.09999999999999</v>
      </c>
      <c r="H772" s="90" t="n">
        <v>0</v>
      </c>
      <c r="I772" s="90" t="n">
        <v>3.1</v>
      </c>
    </row>
    <row r="773" ht="17.25" customHeight="1" s="66">
      <c r="A773" s="65" t="inlineStr">
        <is>
          <t>513112</t>
        </is>
      </c>
      <c r="B773" s="68" t="inlineStr">
        <is>
          <t>도매 및 소매업</t>
        </is>
      </c>
      <c r="C773" s="68" t="inlineStr">
        <is>
          <t>도매 및 상품 중개업</t>
        </is>
      </c>
      <c r="D773" s="68" t="inlineStr">
        <is>
          <t>생활용 섬유제품, 의복, 의복 액세서리 및 모피제품 도매업</t>
        </is>
      </c>
      <c r="E773" s="68" t="inlineStr">
        <is>
          <t>커튼 및 침구용품 도매업</t>
        </is>
      </c>
      <c r="F773" s="68" t="inlineStr">
        <is>
          <t>◦직물제로 만든 침구용품 및 유사 제품을 도매하는 산업활동을 말한다.
&lt;예 시&gt;
·쿠션 및 방석 도매
·담요
·침구용, 주방용 린넨제품(침대 시트, 식탁보, 베갯잇 등) 도매
&lt;제 외&gt;
·전기담요 도매(513221)
*직물제로 만든 커튼 및 유사 제품 도매(→513113)</t>
        </is>
      </c>
      <c r="G773" s="90" t="n">
        <v>95.59999999999999</v>
      </c>
      <c r="H773" s="90" t="n">
        <v>0</v>
      </c>
      <c r="I773" s="90" t="n">
        <v>4.2</v>
      </c>
    </row>
    <row r="774" ht="17.25" customHeight="1" s="66">
      <c r="A774" s="65" t="inlineStr">
        <is>
          <t>513113</t>
        </is>
      </c>
      <c r="B774" s="68" t="inlineStr">
        <is>
          <t>도매 및 소매업</t>
        </is>
      </c>
      <c r="C774" s="68" t="inlineStr">
        <is>
          <t>도매 및 상품 중개업</t>
        </is>
      </c>
      <c r="D774" s="68" t="inlineStr">
        <is>
          <t>생활용 섬유제품, 의복, 의복 액세서리 및 모피제품 도매업</t>
        </is>
      </c>
      <c r="E774" s="68" t="inlineStr">
        <is>
          <t>커튼 및 침구용품 도매업</t>
        </is>
      </c>
      <c r="F774" s="68" t="inlineStr">
        <is>
          <t>◦직물제로 만든 커튼 및 유사 제품을 도매하는 산업활동을 말한다.
&lt;예 시&gt;
·실내용 블라인드(직물) 도매
·벽가리개 도매
·무대막 도매
&lt;제 외&gt;
·직물벽지 도매(513263)
*직물제로 만든 침구용품 및 유사 제품 도매(→513112)</t>
        </is>
      </c>
      <c r="G774" s="90" t="n">
        <v>90.8</v>
      </c>
      <c r="H774" s="90" t="n">
        <v>0</v>
      </c>
      <c r="I774" s="90" t="n">
        <v>4.4</v>
      </c>
    </row>
    <row r="775" ht="17.25" customHeight="1" s="66">
      <c r="A775" s="65" t="inlineStr">
        <is>
          <t>513119</t>
        </is>
      </c>
      <c r="B775" s="68" t="inlineStr">
        <is>
          <t>도매 및 소매업</t>
        </is>
      </c>
      <c r="C775" s="68" t="inlineStr">
        <is>
          <t>도매 및 상품 중개업</t>
        </is>
      </c>
      <c r="D775" s="68" t="inlineStr">
        <is>
          <t>생활용 섬유제품, 의복, 의복 액세서리 및 모피제품 도매업</t>
        </is>
      </c>
      <c r="E775" s="68" t="inlineStr">
        <is>
          <t>기타 생활용 섬유 및 직물 제품 도매업</t>
        </is>
      </c>
      <c r="F775" s="68" t="inlineStr">
        <is>
          <t>◦기타 생활용 섬유 및 직물 제품을 도매하는 산업활동을 말한다.
&lt;예 시&gt;
·수예품 도매
·위생 수건(타월) 도매
·국기 도매
&lt;제 외&gt;
·융단 원단 도매(513263)
*카펫, 융단, 자리 도매(→513261)</t>
        </is>
      </c>
      <c r="G775" s="90" t="n">
        <v>94</v>
      </c>
      <c r="H775" s="90" t="n">
        <v>0</v>
      </c>
      <c r="I775" s="90" t="n">
        <v>3.6</v>
      </c>
    </row>
    <row r="776" ht="17.25" customHeight="1" s="66">
      <c r="A776" s="65" t="inlineStr">
        <is>
          <t>513121</t>
        </is>
      </c>
      <c r="B776" s="68" t="inlineStr">
        <is>
          <t>도매 및 소매업</t>
        </is>
      </c>
      <c r="C776" s="68" t="inlineStr">
        <is>
          <t>도매 및 상품 중개업</t>
        </is>
      </c>
      <c r="D776" s="68" t="inlineStr">
        <is>
          <t>생활용 섬유제품, 의복, 의복 액세서리 및 모피제품 도매업</t>
        </is>
      </c>
      <c r="E776" s="68" t="inlineStr">
        <is>
          <t>남녀용 겉옷 및 셔츠 도매업</t>
        </is>
      </c>
      <c r="F776" s="68" t="inlineStr">
        <is>
          <t>◦남녀용 각종 겉옷을 도매하는 산업활동을 말한다.
&lt;예 시&gt;
·양복 및 양장 도매
·양복 조끼 도매
·반바지 도매
·작업복 및 체육복 도매
·수영복 도매
·소아용 기성 겉옷 도매
&lt;제 외&gt;
·유아용 겉옷 도매(513131)
*남녀용 각종 셔츠 등 도매(→513130)</t>
        </is>
      </c>
      <c r="G776" s="90" t="n">
        <v>93.59999999999999</v>
      </c>
      <c r="H776" s="90" t="n">
        <v>0</v>
      </c>
      <c r="I776" s="90" t="n">
        <v>4.3</v>
      </c>
    </row>
    <row r="777" ht="17.25" customHeight="1" s="66">
      <c r="A777" s="65" t="inlineStr">
        <is>
          <t>513130</t>
        </is>
      </c>
      <c r="B777" s="68" t="inlineStr">
        <is>
          <t>도매 및 소매업</t>
        </is>
      </c>
      <c r="C777" s="68" t="inlineStr">
        <is>
          <t>도매 및 상품 중개업</t>
        </is>
      </c>
      <c r="D777" s="68" t="inlineStr">
        <is>
          <t>생활용 섬유제품, 의복, 의복 액세서리 및 모피제품 도매업</t>
        </is>
      </c>
      <c r="E777" s="68" t="inlineStr">
        <is>
          <t>남녀용 겉옷 및 셔츠 도매업</t>
        </is>
      </c>
      <c r="F777" s="68" t="inlineStr">
        <is>
          <t>◦남녀용 각종 셔츠 등을 도매하는 산업활동을 말한다.
&lt;예 시&gt;
·T셔츠, 남방, 블라우스
&lt;제 외&gt;
*남녀용 각종 겉옷 도매(→513121)</t>
        </is>
      </c>
      <c r="G777" s="90" t="n">
        <v>94.2</v>
      </c>
      <c r="H777" s="90" t="n">
        <v>0</v>
      </c>
      <c r="I777" s="90" t="n">
        <v>7</v>
      </c>
    </row>
    <row r="778" ht="17.25" customHeight="1" s="66">
      <c r="A778" s="65" t="inlineStr">
        <is>
          <t>513131</t>
        </is>
      </c>
      <c r="B778" s="68" t="inlineStr">
        <is>
          <t>도매 및 소매업</t>
        </is>
      </c>
      <c r="C778" s="68" t="inlineStr">
        <is>
          <t>도매 및 상품 중개업</t>
        </is>
      </c>
      <c r="D778" s="68" t="inlineStr">
        <is>
          <t>생활용 섬유제품, 의복, 의복 액세서리 및 모피제품 도매업</t>
        </is>
      </c>
      <c r="E778" s="68" t="inlineStr">
        <is>
          <t>유아용 의류 도매업</t>
        </is>
      </c>
      <c r="F778" s="68" t="inlineStr">
        <is>
          <t>◦유아용 겉옷 및 속옷을 도매하는 산업활동을 말한다.
&lt;예 시&gt;
·유아용 겉옷 도매
·유아용 속옷 도매</t>
        </is>
      </c>
      <c r="G778" s="90" t="n">
        <v>94.2</v>
      </c>
      <c r="H778" s="90" t="n">
        <v>0</v>
      </c>
      <c r="I778" s="90" t="n">
        <v>4.4</v>
      </c>
    </row>
    <row r="779" ht="17.25" customHeight="1" s="66">
      <c r="A779" s="65" t="inlineStr">
        <is>
          <t>513132</t>
        </is>
      </c>
      <c r="B779" s="68" t="inlineStr">
        <is>
          <t>도매 및 소매업</t>
        </is>
      </c>
      <c r="C779" s="68" t="inlineStr">
        <is>
          <t>도매 및 상품 중개업</t>
        </is>
      </c>
      <c r="D779" s="68" t="inlineStr">
        <is>
          <t>생활용 섬유제품, 의복, 의복 액세서리 및 모피제품 도매업</t>
        </is>
      </c>
      <c r="E779" s="68" t="inlineStr">
        <is>
          <t>속옷 및 잠옷 도매업</t>
        </is>
      </c>
      <c r="F779" s="68" t="inlineStr">
        <is>
          <t>◦남녀용 속옷 및 잠옷 등을 도매하는 산업활동을 말한다.
&lt;예 시&gt;
·잠옷 도매
·러닝 및 팬티 도매
·브래지어 도매
·캐미솔 도매
&lt;제 외&gt;
·유아용 속옷 도매(513131)</t>
        </is>
      </c>
      <c r="G779" s="90" t="n">
        <v>94.2</v>
      </c>
      <c r="H779" s="90" t="n">
        <v>0</v>
      </c>
      <c r="I779" s="90" t="n">
        <v>3.1</v>
      </c>
    </row>
    <row r="780" ht="17.25" customHeight="1" s="66">
      <c r="A780" s="65" t="inlineStr">
        <is>
          <t>513141</t>
        </is>
      </c>
      <c r="B780" s="68" t="inlineStr">
        <is>
          <t>도매 및 소매업</t>
        </is>
      </c>
      <c r="C780" s="68" t="inlineStr">
        <is>
          <t>도매 및 상품 중개업</t>
        </is>
      </c>
      <c r="D780" s="68" t="inlineStr">
        <is>
          <t>신발 도매업</t>
        </is>
      </c>
      <c r="E780" s="68" t="inlineStr">
        <is>
          <t>신발 도매업</t>
        </is>
      </c>
      <c r="F780" s="68" t="inlineStr">
        <is>
          <t>◦가죽, 직물, 플라스틱, 고무, 나무 등으로 제조된 각종 신발을 도매하는 산업활동을 말한다.
&lt;예 시&gt;&gt;
·구두 도매
·부츠 도매
·운동화 도매
&lt;제 외&gt;
·등산화 도매(513941)</t>
        </is>
      </c>
      <c r="G780" s="90" t="n">
        <v>93.2</v>
      </c>
      <c r="H780" s="90" t="n">
        <v>0</v>
      </c>
      <c r="I780" s="90" t="n">
        <v>4</v>
      </c>
    </row>
    <row r="781" ht="17.25" customHeight="1" s="66">
      <c r="A781" s="65" t="inlineStr">
        <is>
          <t>513150</t>
        </is>
      </c>
      <c r="B781" s="68" t="inlineStr">
        <is>
          <t>도매 및 소매업</t>
        </is>
      </c>
      <c r="C781" s="68" t="inlineStr">
        <is>
          <t>도매 및 상품 중개업</t>
        </is>
      </c>
      <c r="D781" s="68" t="inlineStr">
        <is>
          <t>생활용 섬유제품, 의복, 의복 액세서리 및 모피제품 도매업</t>
        </is>
      </c>
      <c r="E781" s="68" t="inlineStr">
        <is>
          <t>가죽 및 모피 제품 도매업</t>
        </is>
      </c>
      <c r="F781" s="68" t="inlineStr">
        <is>
          <t>◦천연◦재생◦합성◦인조 가죽 및 천연◦인조 모피제품을 도매하는 산업활동을 말한다.
&lt;예 시&gt;
·가죽의복 도매
·모피제품 도매
&lt;제 외&gt;
·원모피 및 원피 도매(512190)
·가죽 가방 및 여행용품 도매(513950)
·가죽 신발 도매(513141)</t>
        </is>
      </c>
      <c r="G781" s="90" t="n">
        <v>93.7</v>
      </c>
      <c r="H781" s="90" t="n">
        <v>0</v>
      </c>
      <c r="I781" s="90" t="n">
        <v>4.4</v>
      </c>
    </row>
    <row r="782" ht="17.25" customHeight="1" s="66">
      <c r="A782" s="65" t="inlineStr">
        <is>
          <t>513191</t>
        </is>
      </c>
      <c r="B782" s="68" t="inlineStr">
        <is>
          <t>도매 및 소매업</t>
        </is>
      </c>
      <c r="C782" s="68" t="inlineStr">
        <is>
          <t>도매 및 상품 중개업</t>
        </is>
      </c>
      <c r="D782" s="68" t="inlineStr">
        <is>
          <t>생활용 섬유제품, 의복, 의복 액세서리 및 모피제품 도매업</t>
        </is>
      </c>
      <c r="E782" s="68" t="inlineStr">
        <is>
          <t>의복 액세서리 및 모조 장신구 도매업</t>
        </is>
      </c>
      <c r="F782" s="68" t="inlineStr">
        <is>
          <t xml:space="preserve">◦의복 액세서리(귀금속제 제외) 등을 도매하는 산업활동을 말한다.
&lt;예 시&gt;
·가발 및 모자 도매
·손수건 및 머플러 도매
·넥타이 도매
·양말 및 스타킹 도매
·모피제 의복 액세서리 도매
·모피모자, 모피목도리, 모피장갑 도매
&lt;제 외&gt;
*모조 장신구 등 도매(→513920)
*단추 및 파스너(지퍼등), 기타 의복부착물 도매(→513991)
</t>
        </is>
      </c>
      <c r="G782" s="90" t="n">
        <v>93.7</v>
      </c>
      <c r="H782" s="90" t="n">
        <v>0</v>
      </c>
      <c r="I782" s="90" t="n">
        <v>4</v>
      </c>
    </row>
    <row r="783" ht="17.25" customHeight="1" s="66">
      <c r="A783" s="65" t="inlineStr">
        <is>
          <t>513211</t>
        </is>
      </c>
      <c r="B783" s="68" t="inlineStr">
        <is>
          <t>도매 및 소매업</t>
        </is>
      </c>
      <c r="C783" s="68" t="inlineStr">
        <is>
          <t>도매 및 상품 중개업</t>
        </is>
      </c>
      <c r="D783" s="68" t="inlineStr">
        <is>
          <t>생활용 가구, 조명기구 및 비전기식 생활용기기 도매업</t>
        </is>
      </c>
      <c r="E783" s="68" t="inlineStr">
        <is>
          <t>생활용 가구 도매업</t>
        </is>
      </c>
      <c r="F783" s="68" t="inlineStr">
        <is>
          <t>◦각종 재료로 제조된 생활용 가구를 도매하는 산업활동을 말한다.
&lt;예 시&gt;
·장롱 도매
·매트리스 및 침대 도매
·책상 및 의자 도매(가정용)
&lt;제 외&gt;
·사무용 가구 도매(515051)
·의료용 및 수의용 가구 도매(515080)
*주방용 가구 도매(→513290)</t>
        </is>
      </c>
      <c r="G783" s="90" t="n">
        <v>93.40000000000001</v>
      </c>
      <c r="H783" s="90" t="n">
        <v>0</v>
      </c>
      <c r="I783" s="90" t="n">
        <v>5.1</v>
      </c>
    </row>
    <row r="784" ht="17.25" customHeight="1" s="66">
      <c r="A784" s="65" t="inlineStr">
        <is>
          <t>513221</t>
        </is>
      </c>
      <c r="B784" s="68" t="inlineStr">
        <is>
          <t>도매 및 소매업</t>
        </is>
      </c>
      <c r="C784" s="68" t="inlineStr">
        <is>
          <t>도매 및 상품 중개업</t>
        </is>
      </c>
      <c r="D784" s="68" t="inlineStr">
        <is>
          <t>가전제품, 통신장비 및 부품 도매업</t>
        </is>
      </c>
      <c r="E784" s="68" t="inlineStr">
        <is>
          <t>가전제품 및 부품 도매업</t>
        </is>
      </c>
      <c r="F784" s="68" t="inlineStr">
        <is>
          <t>◦가정용 전기◦전자제품 및 비설치용 전기 난방기구 등을 도매하는 산업활동을 말한다.
&lt;예 시&gt;
·영상기기 도매
·음향기기(오디오 등) 도매
·가정용 냉·난방기(전기식) 도매
·가정용 전열기기 도매
·전자 레인지 및 전기 밥솥 도매
·전기 면도기 도매
·전기 담요 도매
&lt;제 외&gt;
·설치용 배관 및 난방장치 도매(514366)
*가정용 비전기식 조리 및 난방기구, 가스레인지 도매(→513291)</t>
        </is>
      </c>
      <c r="G784" s="90" t="n">
        <v>92.3</v>
      </c>
      <c r="H784" s="90" t="n">
        <v>0</v>
      </c>
      <c r="I784" s="90" t="n">
        <v>5.9</v>
      </c>
    </row>
    <row r="785" ht="17.25" customHeight="1" s="66">
      <c r="A785" s="65" t="inlineStr">
        <is>
          <t>513230</t>
        </is>
      </c>
      <c r="B785" s="68" t="inlineStr">
        <is>
          <t>도매 및 소매업</t>
        </is>
      </c>
      <c r="C785" s="68" t="inlineStr">
        <is>
          <t>도매 및 상품 중개업</t>
        </is>
      </c>
      <c r="D785" s="68" t="inlineStr">
        <is>
          <t>생활용 가구, 조명기구 및 비전기식 생활용기기 도매업</t>
        </is>
      </c>
      <c r="E785" s="68" t="inlineStr">
        <is>
          <t>생활용 유리ㆍ요업ㆍ목재ㆍ금속 제품 및 날붙이 도매업</t>
        </is>
      </c>
      <c r="F785" s="68" t="inlineStr">
        <is>
          <t>◦생활용 및 주방용 목재제품, 주방용 금속제품, 날붙이(칼․가위 등) 및 기타 관련 용품을 도매하는 산업활동을 말한다.
&lt;예 시&gt;
·쌀통 및 김치통 도매
·주방용품(금속제품) 도매
·쓰레기통 도매
&lt;제 외&gt;
·낫, 전지가위, 톱 등의 철물 및 수공구도매(514361)
·가스레인지 도매(513291)
·비전기식 보일러 도매(514366)
·가정용 비전기식 조리 및 난방기구 도매(513291)
*생활용 유리제품, 요업제품 도매(→513271)
*주방용 요업제품 도매(→513272)
*비전기식 이ㆍ미용기구 도매(→513295)</t>
        </is>
      </c>
      <c r="G785" s="90" t="n">
        <v>93.2</v>
      </c>
      <c r="H785" s="90" t="n">
        <v>0</v>
      </c>
      <c r="I785" s="90" t="n">
        <v>5</v>
      </c>
    </row>
    <row r="786" ht="17.25" customHeight="1" s="66">
      <c r="A786" s="65" t="inlineStr">
        <is>
          <t>513231</t>
        </is>
      </c>
      <c r="B786" s="68" t="inlineStr">
        <is>
          <t>도매 및 소매업</t>
        </is>
      </c>
      <c r="C786" s="68" t="inlineStr">
        <is>
          <t>도매 및 상품 중개업</t>
        </is>
      </c>
      <c r="D786" s="68" t="inlineStr">
        <is>
          <t>기타 기계 및 장비 도매업</t>
        </is>
      </c>
      <c r="E786" s="68" t="inlineStr">
        <is>
          <t>그 외 기타 기계 및 장비 도매업</t>
        </is>
      </c>
      <c r="F786" s="68" t="inlineStr">
        <is>
          <t>◦자동판매기</t>
        </is>
      </c>
      <c r="G786" s="90" t="n">
        <v>92.3</v>
      </c>
      <c r="H786" s="90" t="n">
        <v>0</v>
      </c>
      <c r="I786" s="90" t="n">
        <v>3.7</v>
      </c>
    </row>
    <row r="787" ht="17.25" customHeight="1" s="66">
      <c r="A787" s="65" t="inlineStr">
        <is>
          <t>513241</t>
        </is>
      </c>
      <c r="B787" s="68" t="inlineStr">
        <is>
          <t>도매 및 소매업</t>
        </is>
      </c>
      <c r="C787" s="68" t="inlineStr">
        <is>
          <t>도매 및 상품 중개업</t>
        </is>
      </c>
      <c r="D787" s="68" t="inlineStr">
        <is>
          <t>생활용 가구, 조명기구 및 비전기식 생활용기기 도매업</t>
        </is>
      </c>
      <c r="E787" s="68" t="inlineStr">
        <is>
          <t>전구, 램프 및 조명장치 도매업</t>
        </is>
      </c>
      <c r="F787" s="68" t="inlineStr">
        <is>
          <t>◦각종 조명기구, 조명장치 및 램프를 도매하는 산업활동을 말한다.
&lt;예 시&gt;
·샹들리에 도매
·전기스탠드 도매
·전구 도매</t>
        </is>
      </c>
      <c r="G787" s="90" t="n">
        <v>90.59999999999999</v>
      </c>
      <c r="H787" s="90" t="n">
        <v>0</v>
      </c>
      <c r="I787" s="90" t="n">
        <v>6.3</v>
      </c>
    </row>
    <row r="788" ht="17.25" customHeight="1" s="66">
      <c r="A788" s="65" t="inlineStr">
        <is>
          <t>513250</t>
        </is>
      </c>
      <c r="B788" s="68" t="inlineStr">
        <is>
          <t>도매 및 소매업</t>
        </is>
      </c>
      <c r="C788" s="68" t="inlineStr">
        <is>
          <t>도매 및 상품 중개업</t>
        </is>
      </c>
      <c r="D788" s="68" t="inlineStr">
        <is>
          <t>음반 및 비디오물, 악기, 오락 및 경기용품 도매업</t>
        </is>
      </c>
      <c r="E788" s="68" t="inlineStr">
        <is>
          <t>악기 도매업</t>
        </is>
      </c>
      <c r="F788" s="68" t="inlineStr">
        <is>
          <t>◦현악기, 타악기, 관악기, 건반악기 등 각종 악기를 도매하는 산업활동을 말한다.
&lt;예 시&gt;
·피아노 도매
·금관 악기 및 목관 악기 도매
·전자 악기 도매
·장구, 북 등 전통 악기 도매
·국악기 도매
·하모니카 등 기타 악기 도매</t>
        </is>
      </c>
      <c r="G788" s="90" t="n">
        <v>93.40000000000001</v>
      </c>
      <c r="H788" s="90" t="n">
        <v>0</v>
      </c>
      <c r="I788" s="90" t="n">
        <v>5.6</v>
      </c>
    </row>
    <row r="789" ht="17.25" customHeight="1" s="66">
      <c r="A789" s="65" t="inlineStr">
        <is>
          <t>513253</t>
        </is>
      </c>
      <c r="B789" s="68" t="inlineStr">
        <is>
          <t>도매 및 소매업</t>
        </is>
      </c>
      <c r="C789" s="68" t="inlineStr">
        <is>
          <t>도매 및 상품 중개업</t>
        </is>
      </c>
      <c r="D789" s="68" t="inlineStr">
        <is>
          <t>음반 및 비디오물, 악기, 오락 및 경기용품 도매업</t>
        </is>
      </c>
      <c r="E789" s="68" t="inlineStr">
        <is>
          <t>음반 및 비디오물 도매업</t>
        </is>
      </c>
      <c r="F789" s="68" t="inlineStr">
        <is>
          <t>◦음악 및 영상물을 수록한 테이프, 레코드, CD, DVD 등을 도매하는 산업활동을 말한다.
&lt;예 시&gt;
·음악 및 영상물 수록 CD 도매
·음악 테이프, CD, DVD 도매
·음반 도매
·비디오 테이프, CD, DVD 도매
&lt;제 외&gt;
·비디오 및 음악 이외의 기록매체 도매(513421)</t>
        </is>
      </c>
      <c r="G789" s="90" t="n">
        <v>93.40000000000001</v>
      </c>
      <c r="H789" s="90" t="n">
        <v>0</v>
      </c>
      <c r="I789" s="90" t="n">
        <v>6.3</v>
      </c>
    </row>
    <row r="790" ht="17.25" customHeight="1" s="66">
      <c r="A790" s="65" t="inlineStr">
        <is>
          <t>513261</t>
        </is>
      </c>
      <c r="B790" s="68" t="inlineStr">
        <is>
          <t>도매 및 소매업</t>
        </is>
      </c>
      <c r="C790" s="68" t="inlineStr">
        <is>
          <t>도매 및 상품 중개업</t>
        </is>
      </c>
      <c r="D790" s="68" t="inlineStr">
        <is>
          <t>생활용 섬유제품, 의복, 의복 액세서리 및 모피제품 도매업</t>
        </is>
      </c>
      <c r="E790" s="68" t="inlineStr">
        <is>
          <t>기타 생활용 섬유 및 직물 제품 도매업</t>
        </is>
      </c>
      <c r="F790" s="68" t="inlineStr">
        <is>
          <t>◦카펫, 융단, 자리</t>
        </is>
      </c>
      <c r="G790" s="90" t="n">
        <v>94.3</v>
      </c>
      <c r="H790" s="90" t="n">
        <v>0</v>
      </c>
      <c r="I790" s="90" t="n">
        <v>2.8</v>
      </c>
    </row>
    <row r="791" ht="17.25" customHeight="1" s="66">
      <c r="A791" s="65" t="inlineStr">
        <is>
          <t>513263</t>
        </is>
      </c>
      <c r="B791" s="68" t="inlineStr">
        <is>
          <t>도매 및 소매업</t>
        </is>
      </c>
      <c r="C791" s="68" t="inlineStr">
        <is>
          <t>도매 및 상품 중개업</t>
        </is>
      </c>
      <c r="D791" s="68" t="inlineStr">
        <is>
          <t>기타 건축자재 도매업</t>
        </is>
      </c>
      <c r="E791" s="68" t="inlineStr">
        <is>
          <t>벽지 및 장판류 도매업</t>
        </is>
      </c>
      <c r="F791" s="68" t="inlineStr">
        <is>
          <t>◦각종 재질의 벽지, 장판, 바닥깔개(직물제품 제외) 등을 도매하는 산업활동을 말한다.
&lt;예 시&gt;
·리놀륨 도매
·화문석 및 유사 조물제품 도매
·장판지 및 마루덮개 도매
·융단 원단 도매
·벽지(직물, 종이, 플라스틱제 포함) 도매
&lt;제 외&gt;
·봉제 카펫(생활용) 도매(513261)</t>
        </is>
      </c>
      <c r="G791" s="90" t="n">
        <v>93.5</v>
      </c>
      <c r="H791" s="90" t="n">
        <v>0</v>
      </c>
      <c r="I791" s="90" t="n">
        <v>3.6</v>
      </c>
    </row>
    <row r="792" ht="17.25" customHeight="1" s="66">
      <c r="A792" s="65" t="inlineStr">
        <is>
          <t>513271</t>
        </is>
      </c>
      <c r="B792" s="68" t="inlineStr">
        <is>
          <t>도매 및 소매업</t>
        </is>
      </c>
      <c r="C792" s="68" t="inlineStr">
        <is>
          <t>도매 및 상품 중개업</t>
        </is>
      </c>
      <c r="D792" s="68" t="inlineStr">
        <is>
          <t>생활용 가구, 조명기구 및 비전기식 생활용기기 도매업</t>
        </is>
      </c>
      <c r="E792" s="68" t="inlineStr">
        <is>
          <t>생활용 유리ㆍ요업ㆍ목재ㆍ금속 제품 및 날붙이 도매업</t>
        </is>
      </c>
      <c r="F792" s="68" t="inlineStr">
        <is>
          <t>◦생활용 유리제품, 요업제품을 도매하는 산업활동을 말한다.
&lt;예 시&gt;
·관상용 어항 도매
·화분 도매
·도기제꽃병
&lt;제 외&gt;
*생활용 및 주방용 목재제품, 주방용 금속제품, 날붙이(칼◦가위 등) 및 기타 관련 용품 도매(→513230)
*주방용 요업제품 도매(→513272)
*비전기식 이ㆍ미용기구 도매(→513295)</t>
        </is>
      </c>
      <c r="G792" s="90" t="n">
        <v>93.2</v>
      </c>
      <c r="H792" s="90" t="n">
        <v>0</v>
      </c>
      <c r="I792" s="90" t="n">
        <v>5.8</v>
      </c>
    </row>
    <row r="793" ht="17.25" customHeight="1" s="66">
      <c r="A793" s="65" t="inlineStr">
        <is>
          <t>513272</t>
        </is>
      </c>
      <c r="B793" s="68" t="inlineStr">
        <is>
          <t>도매 및 소매업</t>
        </is>
      </c>
      <c r="C793" s="68" t="inlineStr">
        <is>
          <t>도매 및 상품 중개업</t>
        </is>
      </c>
      <c r="D793" s="68" t="inlineStr">
        <is>
          <t>생활용 가구, 조명기구 및 비전기식 생활용기기 도매업</t>
        </is>
      </c>
      <c r="E793" s="68" t="inlineStr">
        <is>
          <t>생활용 유리ㆍ요업ㆍ목재ㆍ금속 제품 및 날붙이 도매업</t>
        </is>
      </c>
      <c r="F793" s="68" t="inlineStr">
        <is>
          <t>◦주방용 요업제품을 도매하는 산업활동을 말한다.
&lt;예 시&gt;
·토기로 된 밥그릇, 주발, 접시, 냄비, 주전자 등 식기와 주방용품
·도기로 된 밥그릇, 주발, 접시, 냄비, 주전자 등 식기와 주방용품
&lt;제 외&gt;
*생활용 및 주방용 목재제품, 주방용 금속제품, 날붙이(칼◦가위 등) 및 기타 관련 용품 도매(→513230)
*생활용 유리제품, 요업제품 도매(→513271)
*비전기식 이ㆍ미용기구 도매(→513295)</t>
        </is>
      </c>
      <c r="G793" s="90" t="n">
        <v>94.40000000000001</v>
      </c>
      <c r="H793" s="90" t="n">
        <v>0</v>
      </c>
      <c r="I793" s="90" t="n">
        <v>4.6</v>
      </c>
    </row>
    <row r="794" ht="17.25" customHeight="1" s="66">
      <c r="A794" s="65" t="inlineStr">
        <is>
          <t>513290</t>
        </is>
      </c>
      <c r="B794" s="68" t="inlineStr">
        <is>
          <t>도매 및 소매업</t>
        </is>
      </c>
      <c r="C794" s="68" t="inlineStr">
        <is>
          <t>도매 및 상품 중개업</t>
        </is>
      </c>
      <c r="D794" s="68" t="inlineStr">
        <is>
          <t>생활용 가구, 조명기구 및 비전기식 생활용기기 도매업</t>
        </is>
      </c>
      <c r="E794" s="68" t="inlineStr">
        <is>
          <t>생활용 가구 도매업</t>
        </is>
      </c>
      <c r="F794" s="68" t="inlineStr">
        <is>
          <t>◦주방용 가구 도매
&lt;예 시&gt;
·싱크대(개수대) 및 조리대</t>
        </is>
      </c>
      <c r="G794" s="90" t="n">
        <v>93.7</v>
      </c>
      <c r="H794" s="90" t="n">
        <v>0</v>
      </c>
      <c r="I794" s="90" t="n">
        <v>4.5</v>
      </c>
    </row>
    <row r="795" ht="17.25" customHeight="1" s="66">
      <c r="A795" s="65" t="inlineStr">
        <is>
          <t>513291</t>
        </is>
      </c>
      <c r="B795" s="68" t="inlineStr">
        <is>
          <t>도매 및 소매업</t>
        </is>
      </c>
      <c r="C795" s="68" t="inlineStr">
        <is>
          <t>도매 및 상품 중개업</t>
        </is>
      </c>
      <c r="D795" s="68" t="inlineStr">
        <is>
          <t>가전제품, 통신장비 및 부품 도매업</t>
        </is>
      </c>
      <c r="E795" s="68" t="inlineStr">
        <is>
          <t>가전제품 및 부품 도매업</t>
        </is>
      </c>
      <c r="F795" s="68" t="inlineStr">
        <is>
          <t>◦가정용 비전기식 조리 및 난방기구
&lt;예 시&gt;
 ·가스스토브, 가스히터(비전기식), 석유난로, 석유버너, 화로(비전기식: 가정용), 가스레인지</t>
        </is>
      </c>
      <c r="G795" s="90" t="n">
        <v>94</v>
      </c>
      <c r="H795" s="90" t="n">
        <v>0</v>
      </c>
      <c r="I795" s="90" t="n">
        <v>4.9</v>
      </c>
    </row>
    <row r="796" ht="17.25" customHeight="1" s="66">
      <c r="A796" s="65" t="inlineStr">
        <is>
          <t>513295</t>
        </is>
      </c>
      <c r="B796" s="68" t="inlineStr">
        <is>
          <t>도매 및 소매업</t>
        </is>
      </c>
      <c r="C796" s="68" t="inlineStr">
        <is>
          <t>도매 및 상품 중개업</t>
        </is>
      </c>
      <c r="D796" s="68" t="inlineStr">
        <is>
          <t>생활용 가구, 조명기구 및 비전기식 생활용기기 도매업</t>
        </is>
      </c>
      <c r="E796" s="68" t="inlineStr">
        <is>
          <t>생활용 유리ㆍ요업ㆍ목재ㆍ금속 제품 및 날붙이 도매업</t>
        </is>
      </c>
      <c r="F796" s="68" t="inlineStr">
        <is>
          <t>◦비전기식 이ㆍ미용기구 도매
&lt;예 시&gt;
·비전기식 면도기 도매
·비전기식 이발기 도매
·손톱깍기 도매</t>
        </is>
      </c>
      <c r="G796" s="90" t="n">
        <v>93.7</v>
      </c>
      <c r="H796" s="90" t="n">
        <v>0</v>
      </c>
      <c r="I796" s="90" t="n">
        <v>4.4</v>
      </c>
    </row>
    <row r="797" ht="17.25" customHeight="1" s="66">
      <c r="A797" s="65" t="inlineStr">
        <is>
          <t>513296</t>
        </is>
      </c>
      <c r="B797" s="68" t="inlineStr">
        <is>
          <t>도매 및 소매업</t>
        </is>
      </c>
      <c r="C797" s="68" t="inlineStr">
        <is>
          <t>도매 및 상품 중개업</t>
        </is>
      </c>
      <c r="D797" s="68" t="inlineStr">
        <is>
          <t>생활용 가구, 조명기구 및 비전기식 생활용기기 도매업</t>
        </is>
      </c>
      <c r="E797" s="68" t="inlineStr">
        <is>
          <t>기타 비전기식 생활용 기기 및 기구 도매업</t>
        </is>
      </c>
      <c r="F797" s="68" t="inlineStr">
        <is>
          <t>◦달리 분류되지 않은 생활용 기기 및 기구 등을 도매하는 산업활동을 말한다.
&lt;예 시&gt;
·비전기식 재봉기 도매업
·비전기식 정수기 도매업</t>
        </is>
      </c>
      <c r="G797" s="90" t="n">
        <v>93.7</v>
      </c>
      <c r="H797" s="90" t="n">
        <v>0</v>
      </c>
      <c r="I797" s="90" t="n">
        <v>4.4</v>
      </c>
    </row>
    <row r="798" ht="17.25" customHeight="1" s="66">
      <c r="A798" s="65" t="inlineStr">
        <is>
          <t>513297</t>
        </is>
      </c>
      <c r="B798" s="68" t="inlineStr">
        <is>
          <t>도매 및 소매업</t>
        </is>
      </c>
      <c r="C798" s="68" t="inlineStr">
        <is>
          <t>도매 및 상품 중개업</t>
        </is>
      </c>
      <c r="D798" s="68" t="inlineStr">
        <is>
          <t>음반 및 비디오물, 악기, 오락 및 경기용품 도매업</t>
        </is>
      </c>
      <c r="E798" s="68" t="inlineStr">
        <is>
          <t>자전거 및 기타 운송장비 도매업</t>
        </is>
      </c>
      <c r="F798" s="68" t="inlineStr">
        <is>
          <t>◦유모차</t>
        </is>
      </c>
      <c r="G798" s="90" t="n">
        <v>93.7</v>
      </c>
      <c r="H798" s="90" t="n">
        <v>0</v>
      </c>
      <c r="I798" s="90" t="n">
        <v>6.7</v>
      </c>
    </row>
    <row r="799" ht="17.25" customHeight="1" s="66">
      <c r="A799" s="65" t="inlineStr">
        <is>
          <t>513298</t>
        </is>
      </c>
      <c r="B799" s="68" t="inlineStr">
        <is>
          <t>도매 및 소매업</t>
        </is>
      </c>
      <c r="C799" s="68" t="inlineStr">
        <is>
          <t>도매 및 상품 중개업</t>
        </is>
      </c>
      <c r="D799" s="68" t="inlineStr">
        <is>
          <t>재생용 재료 및 기타 상품 전문 도매업</t>
        </is>
      </c>
      <c r="E799" s="68" t="inlineStr">
        <is>
          <t>그 외 기타 상품 전문 도매업</t>
        </is>
      </c>
      <c r="F799" s="68" t="inlineStr">
        <is>
          <t>◦총포
&lt;예 시&gt;
·공기총, 엽총</t>
        </is>
      </c>
      <c r="G799" s="90" t="n">
        <v>93.7</v>
      </c>
      <c r="H799" s="90" t="n">
        <v>0</v>
      </c>
      <c r="I799" s="90" t="n">
        <v>5.8</v>
      </c>
    </row>
    <row r="800" ht="17.25" customHeight="1" s="66">
      <c r="A800" s="65" t="inlineStr">
        <is>
          <t>513311</t>
        </is>
      </c>
      <c r="B800" s="68" t="inlineStr">
        <is>
          <t>도매 및 소매업</t>
        </is>
      </c>
      <c r="C800" s="68" t="inlineStr">
        <is>
          <t>도매 및 상품 중개업</t>
        </is>
      </c>
      <c r="D800" s="68" t="inlineStr">
        <is>
          <t>의약품, 의료용품 및 화장품 도매업</t>
        </is>
      </c>
      <c r="E800" s="68" t="inlineStr">
        <is>
          <t>의약품 도매업</t>
        </is>
      </c>
      <c r="F800" s="68" t="inlineStr">
        <is>
          <t>◦최종 소비용 의약품 및 의약제제 등을 도매하는 산업활동을 말한다.
&lt;예 시&gt;
·비타민제 도매
·안약 도매
·동물용 약품 도매
·강장제 및 드링크제 도매(의약품)
&lt;제 외&gt;
·비의약품 드링크제 도매(512260)
·원료 상태의 의약제품 및 의료용 기초 화합물 도매(514919)
*각종 한약류(→513312)</t>
        </is>
      </c>
      <c r="G800" s="90" t="n">
        <v>94.8</v>
      </c>
      <c r="H800" s="90" t="n">
        <v>0</v>
      </c>
      <c r="I800" s="90" t="n">
        <v>5.3</v>
      </c>
    </row>
    <row r="801" ht="17.25" customHeight="1" s="66">
      <c r="A801" s="65" t="inlineStr">
        <is>
          <t>513312</t>
        </is>
      </c>
      <c r="B801" s="68" t="inlineStr">
        <is>
          <t>도매 및 소매업</t>
        </is>
      </c>
      <c r="C801" s="68" t="inlineStr">
        <is>
          <t>도매 및 상품 중개업</t>
        </is>
      </c>
      <c r="D801" s="68" t="inlineStr">
        <is>
          <t>의약품, 의료용품 및 화장품 도매업</t>
        </is>
      </c>
      <c r="E801" s="68" t="inlineStr">
        <is>
          <t>의약품 도매업</t>
        </is>
      </c>
      <c r="F801" s="68" t="inlineStr">
        <is>
          <t>◦각종 한약류</t>
        </is>
      </c>
      <c r="G801" s="90" t="n">
        <v>89</v>
      </c>
      <c r="H801" s="90" t="n">
        <v>0</v>
      </c>
      <c r="I801" s="90" t="n">
        <v>3.9</v>
      </c>
    </row>
    <row r="802" ht="17.25" customHeight="1" s="66">
      <c r="A802" s="65" t="inlineStr">
        <is>
          <t>513313</t>
        </is>
      </c>
      <c r="B802" s="68" t="inlineStr">
        <is>
          <t>도매 및 소매업</t>
        </is>
      </c>
      <c r="C802" s="68" t="inlineStr">
        <is>
          <t>도매 및 상품 중개업</t>
        </is>
      </c>
      <c r="D802" s="68" t="inlineStr">
        <is>
          <t>의약품, 의료용품 및 화장품 도매업</t>
        </is>
      </c>
      <c r="E802" s="68" t="inlineStr">
        <is>
          <t>의료용품 도매업</t>
        </is>
      </c>
      <c r="F802" s="68" t="inlineStr">
        <is>
          <t>◦각종 의료용품 및 기타 의약 관련제품과 보청기, 의족 등 신체 보정용품 및 정형외과용품 등을 도매하는 산업활동을 말한다.
&lt;예 시&gt;
·혈액형 분류용 시약 도매
·탈지면, 피복재, 습포제 도매
·의족, 의치 및 의수 도매
·살균제 및 방충제 도매
·살균한 외과용의 장선(캣커트), 봉합재 및 지혈제 도매
·의료기관이나 연구기관에 납품되는 시험용 약품류
&lt;제 외&gt;
·의료 기구 및 의료용 기계·기구 도매(515080)</t>
        </is>
      </c>
      <c r="G802" s="90" t="n">
        <v>91.3</v>
      </c>
      <c r="H802" s="90" t="n">
        <v>0</v>
      </c>
      <c r="I802" s="90" t="n">
        <v>6.6</v>
      </c>
    </row>
    <row r="803" ht="17.25" customHeight="1" s="66">
      <c r="A803" s="65" t="inlineStr">
        <is>
          <t>513320</t>
        </is>
      </c>
      <c r="B803" s="68" t="inlineStr">
        <is>
          <t>도매 및 소매업</t>
        </is>
      </c>
      <c r="C803" s="68" t="inlineStr">
        <is>
          <t>도매 및 상품 중개업</t>
        </is>
      </c>
      <c r="D803" s="68" t="inlineStr">
        <is>
          <t>의약품, 의료용품 및 화장품 도매업</t>
        </is>
      </c>
      <c r="E803" s="68" t="inlineStr">
        <is>
          <t>화장품 및 화장용품 도매업</t>
        </is>
      </c>
      <c r="F803" s="68" t="inlineStr">
        <is>
          <t>◦화장품 및 관련 제품을 도매하는 산업활동을 말한다.
&lt;예 시&gt;
·스킨, 로션 및 향수 도매
·무스 및 스프레이 도매
·화장 도구 도매
·머리 염색약 및 머릿기름 도매
·구강 세척제 도매
·렌즈 세정액(클리너) 도매
·탈모제 및 파마약 도매</t>
        </is>
      </c>
      <c r="G803" s="90" t="n">
        <v>92.40000000000001</v>
      </c>
      <c r="H803" s="90" t="n">
        <v>0</v>
      </c>
      <c r="I803" s="90" t="n">
        <v>6.7</v>
      </c>
    </row>
    <row r="804" ht="17.25" customHeight="1" s="66">
      <c r="A804" s="65" t="inlineStr">
        <is>
          <t>513330</t>
        </is>
      </c>
      <c r="B804" s="68" t="inlineStr">
        <is>
          <t>도매 및 소매업</t>
        </is>
      </c>
      <c r="C804" s="68" t="inlineStr">
        <is>
          <t>도매 및 상품 중개업</t>
        </is>
      </c>
      <c r="D804" s="68" t="inlineStr">
        <is>
          <t>의약품, 의료용품 및 화장품 도매업</t>
        </is>
      </c>
      <c r="E804" s="68" t="inlineStr">
        <is>
          <t>비누 및 세정제 도매업</t>
        </is>
      </c>
      <c r="F804" s="68" t="inlineStr">
        <is>
          <t>◦각종 용도의 비누, 세정제를 도매하는 산업활동을 말한다.
&lt;예 시&gt;
·세수 및 약용 비누 도매
·주방 및 세탁용 세제 도매
·락스 도매
·치약 도매</t>
        </is>
      </c>
      <c r="G804" s="90" t="n">
        <v>95</v>
      </c>
      <c r="H804" s="90" t="n">
        <v>0</v>
      </c>
      <c r="I804" s="90" t="n">
        <v>3.8</v>
      </c>
    </row>
    <row r="805" ht="17.25" customHeight="1" s="66">
      <c r="A805" s="65" t="inlineStr">
        <is>
          <t>513410</t>
        </is>
      </c>
      <c r="B805" s="68" t="inlineStr">
        <is>
          <t>도매 및 소매업</t>
        </is>
      </c>
      <c r="C805" s="68" t="inlineStr">
        <is>
          <t>도매 및 상품 중개업</t>
        </is>
      </c>
      <c r="D805" s="68" t="inlineStr">
        <is>
          <t>생활용 포장ㆍ위생용품, 문구용품 및 출판 인쇄물 도매업</t>
        </is>
      </c>
      <c r="E805" s="68" t="inlineStr">
        <is>
          <t>생활용 포장 및 위생용품, 봉투 및 유사 제품 도매업</t>
        </is>
      </c>
      <c r="F805" s="68" t="inlineStr">
        <is>
          <t>◦주방용 포장용품, 위생용 종이제품, 종이 또는 비닐제의 가방 등을 도매하는 산업활동을 말한다.
&lt;예 시&gt;
·포장지(랩, wrap) 도매
·은박지 도매
·화장지 및 냅킨 도매
·쇼핑백 도매
&lt;제 외&gt;
·포장용 판지 상자 및 골판지 상자, 골판지·판지 및 크라프트지 도매(513414)
·폴리에틸렌 필름 도매(513415)
·장판지, 벽지, 융단 원단 및 마루덮개 도매(513263)
·편지지, 편지봉투 및 서예지 도매(513430)</t>
        </is>
      </c>
      <c r="G805" s="90" t="n">
        <v>94</v>
      </c>
      <c r="H805" s="90" t="n">
        <v>0</v>
      </c>
      <c r="I805" s="90" t="n">
        <v>3.5</v>
      </c>
    </row>
    <row r="806" ht="17.25" customHeight="1" s="66">
      <c r="A806" s="65" t="inlineStr">
        <is>
          <t>513414</t>
        </is>
      </c>
      <c r="B806" s="68" t="inlineStr">
        <is>
          <t>도매 및 소매업</t>
        </is>
      </c>
      <c r="C806" s="68" t="inlineStr">
        <is>
          <t>도매 및 상품 중개업</t>
        </is>
      </c>
      <c r="D806" s="68" t="inlineStr">
        <is>
          <t>종이 원지, 판지, 종이상자 도매업</t>
        </is>
      </c>
      <c r="E806" s="68" t="inlineStr">
        <is>
          <t>종이 원지, 판지, 종이상자 도매업</t>
        </is>
      </c>
      <c r="F806" s="68" t="inlineStr">
        <is>
          <t>◦펄프, 각종 종이원지, 판지 및 종이상자류를 도매하는 산업활동을 말한다.
&lt;예 시&gt;
·펄프 도매
·신문용지, 인쇄용지, 필기용 원지 도매
·골판지 및 크라프트지 도매
·상자용·포장용 판지 및 종이 상자 도매</t>
        </is>
      </c>
      <c r="G806" s="90" t="n">
        <v>94</v>
      </c>
      <c r="H806" s="90" t="n">
        <v>0</v>
      </c>
      <c r="I806" s="90" t="n">
        <v>3.8</v>
      </c>
    </row>
    <row r="807" ht="17.25" customHeight="1" s="66">
      <c r="A807" s="65" t="inlineStr">
        <is>
          <t>513415</t>
        </is>
      </c>
      <c r="B807" s="68" t="inlineStr">
        <is>
          <t>도매 및 소매업</t>
        </is>
      </c>
      <c r="C807" s="68" t="inlineStr">
        <is>
          <t>도매 및 상품 중개업</t>
        </is>
      </c>
      <c r="D807" s="68" t="inlineStr">
        <is>
          <t>재생용 재료 및 기타 상품 전문 도매업</t>
        </is>
      </c>
      <c r="E807" s="68" t="inlineStr">
        <is>
          <t>그 외 기타 상품 전문 도매업</t>
        </is>
      </c>
      <c r="F807" s="68" t="inlineStr">
        <is>
          <t>◦플라스틱 필름, 폴리에틸렌필름</t>
        </is>
      </c>
      <c r="G807" s="90" t="n">
        <v>94</v>
      </c>
      <c r="H807" s="90" t="n">
        <v>0</v>
      </c>
      <c r="I807" s="90" t="n">
        <v>4.6</v>
      </c>
    </row>
    <row r="808" ht="17.25" customHeight="1" s="66">
      <c r="A808" s="65" t="inlineStr">
        <is>
          <t>513421</t>
        </is>
      </c>
      <c r="B808" s="68" t="inlineStr">
        <is>
          <t>도매 및 소매업</t>
        </is>
      </c>
      <c r="C808" s="68" t="inlineStr">
        <is>
          <t>도매 및 상품 중개업</t>
        </is>
      </c>
      <c r="D808" s="68" t="inlineStr">
        <is>
          <t>생활용 포장ㆍ위생용품, 문구용품 및 출판 인쇄물 도매업</t>
        </is>
      </c>
      <c r="E808" s="68" t="inlineStr">
        <is>
          <t>서적, 잡지 및 기타 인쇄물 도매업</t>
        </is>
      </c>
      <c r="F808" s="68" t="inlineStr">
        <is>
          <t>◦각종 서적, 간행물, 팸플릿, 신문 및 기타 인쇄물 등을 도매하는 산업활동을 말한다. 비디오물 및 음반, 각종 소프트웨어 이외의 각종 출판물을 전자매체에 수록하여 도매하는 경우도 포함한다.
&lt;예 시&gt;
·각종 종이 인쇄물 및 출판물 도매
·교과서 및 학습지 도매
·만화 및 주간지 도매
·어학 교재 및 어학 테이프 도매
·달력(캘린더) 도매
·소설, 수필, 시집 도매
·기록물 도매(음반·비디오 기록물, 소프트웨어 제외)
·CD, DVD 등 전자매체에 수록한 어학사전, 백과사전, 동화책 도매
&lt;제 외&gt;
·음반, 비디오물 도매(513253)
·범용성 소프트웨어 도매(515050)
·공테이프·CD·DVD 도매(513430)</t>
        </is>
      </c>
      <c r="G808" s="90" t="n">
        <v>94.7</v>
      </c>
      <c r="H808" s="90" t="n">
        <v>0</v>
      </c>
      <c r="I808" s="90" t="n">
        <v>7</v>
      </c>
    </row>
    <row r="809" ht="17.25" customHeight="1" s="66">
      <c r="A809" s="65" t="inlineStr">
        <is>
          <t>513430</t>
        </is>
      </c>
      <c r="B809" s="68" t="inlineStr">
        <is>
          <t>도매 및 소매업</t>
        </is>
      </c>
      <c r="C809" s="68" t="inlineStr">
        <is>
          <t>도매 및 상품 중개업</t>
        </is>
      </c>
      <c r="D809" s="68" t="inlineStr">
        <is>
          <t>생활용 포장ㆍ위생용품, 문구용품 및 출판 인쇄물 도매업</t>
        </is>
      </c>
      <c r="E809" s="68" t="inlineStr">
        <is>
          <t>문구용품, 회화용품, 사무용품 도매업</t>
        </is>
      </c>
      <c r="F809" s="68" t="inlineStr">
        <is>
          <t>◦필기용구 등 문구용품, 회화용품, 사무용품 등을 도매하는 산업활동을 말한다.
&lt;예 시&gt;
·공책, 메모장, 필기구, 각종 문구 용지 도매
·펀치, 호치키스 도매
·접착 테이프 도매
·인주, 고무 도장(스탬프) 도매
·절단 종이 도매
·분필 도매
·책상용 고무판 도매
·크레용, 도화 물감 도매
·공테이프·CD·DVD 도매
·전산용지</t>
        </is>
      </c>
      <c r="G809" s="90" t="n">
        <v>93.7</v>
      </c>
      <c r="H809" s="90" t="n">
        <v>0</v>
      </c>
      <c r="I809" s="90" t="n">
        <v>4.9</v>
      </c>
    </row>
    <row r="810" ht="17.25" customHeight="1" s="66">
      <c r="A810" s="65" t="inlineStr">
        <is>
          <t>513911</t>
        </is>
      </c>
      <c r="B810" s="68" t="inlineStr">
        <is>
          <t>도매 및 소매업</t>
        </is>
      </c>
      <c r="C810" s="68" t="inlineStr">
        <is>
          <t>도매 및 상품 중개업</t>
        </is>
      </c>
      <c r="D810" s="68" t="inlineStr">
        <is>
          <t>가방, 시계, 안경 및 기타 생활용품 도매업</t>
        </is>
      </c>
      <c r="E810" s="68" t="inlineStr">
        <is>
          <t>안경, 사진장비 및 광학용품 도매업</t>
        </is>
      </c>
      <c r="F810" s="68" t="inlineStr">
        <is>
          <t>◦광학용품 등을 도매하는 산업활동을 말한다.
&lt;예 시&gt;
·망원경, 쌍안경 도매
·광학기구 도매
·현미경 도매
&lt;제 외&gt;
·영사기 및 영화촬영기 도매(515081)
*안경 및 콘택트 렌즈 등을 도매(→513913)
*사진필름, 사진용화학물, 사진용품등 사진재료 도매(→513912)</t>
        </is>
      </c>
      <c r="G810" s="90" t="n">
        <v>94.3</v>
      </c>
      <c r="H810" s="90" t="n">
        <v>0</v>
      </c>
      <c r="I810" s="90" t="n">
        <v>4.6</v>
      </c>
    </row>
    <row r="811" ht="17.25" customHeight="1" s="66">
      <c r="A811" s="65" t="inlineStr">
        <is>
          <t>513912</t>
        </is>
      </c>
      <c r="B811" s="68" t="inlineStr">
        <is>
          <t>도매 및 소매업</t>
        </is>
      </c>
      <c r="C811" s="68" t="inlineStr">
        <is>
          <t>도매 및 상품 중개업</t>
        </is>
      </c>
      <c r="D811" s="68" t="inlineStr">
        <is>
          <t>가방, 시계, 안경 및 기타 생활용품 도매업</t>
        </is>
      </c>
      <c r="E811" s="68" t="inlineStr">
        <is>
          <t>안경, 사진장비 및 광학용품 도매업</t>
        </is>
      </c>
      <c r="F811" s="68" t="inlineStr">
        <is>
          <t>◦사진필름, 사진용화학물, 사진용품등 사진재료
&lt;예 시&gt;
·전자필름, 브로마이드(인화지), X선필름</t>
        </is>
      </c>
      <c r="G811" s="90" t="n">
        <v>92.59999999999999</v>
      </c>
      <c r="H811" s="90" t="n">
        <v>0</v>
      </c>
      <c r="I811" s="90" t="n">
        <v>2.6</v>
      </c>
    </row>
    <row r="812" ht="17.25" customHeight="1" s="66">
      <c r="A812" s="65" t="inlineStr">
        <is>
          <t>513913</t>
        </is>
      </c>
      <c r="B812" s="68" t="inlineStr">
        <is>
          <t>도매 및 소매업</t>
        </is>
      </c>
      <c r="C812" s="68" t="inlineStr">
        <is>
          <t>도매 및 상품 중개업</t>
        </is>
      </c>
      <c r="D812" s="68" t="inlineStr">
        <is>
          <t>가방, 시계, 안경 및 기타 생활용품 도매업</t>
        </is>
      </c>
      <c r="E812" s="68" t="inlineStr">
        <is>
          <t>안경, 사진장비 및 광학용품 도매업</t>
        </is>
      </c>
      <c r="F812" s="68" t="inlineStr">
        <is>
          <t>◦안경 및 콘택트 렌즈 등을 도매하는 산업활동을 말한다.
&lt;예 시&gt;
·선글라스 도매
·안경 도매
·콘택트 렌즈 도매
&lt;제 외&gt;
*광학용품 등 도매(→513911)
*사진필름, 사진용화학물, 사진용품등 사진재료 도매(→513912)</t>
        </is>
      </c>
      <c r="G812" s="90" t="n">
        <v>92.2</v>
      </c>
      <c r="H812" s="90" t="n">
        <v>0</v>
      </c>
      <c r="I812" s="90" t="n">
        <v>7</v>
      </c>
    </row>
    <row r="813" ht="17.25" customHeight="1" s="66">
      <c r="A813" s="65" t="inlineStr">
        <is>
          <t>513920</t>
        </is>
      </c>
      <c r="B813" s="68" t="inlineStr">
        <is>
          <t>도매 및 소매업</t>
        </is>
      </c>
      <c r="C813" s="68" t="inlineStr">
        <is>
          <t>도매 및 상품 중개업</t>
        </is>
      </c>
      <c r="D813" s="68" t="inlineStr">
        <is>
          <t>생활용 섬유제품, 의복, 의복 액세서리 및 모피제품 도매업</t>
        </is>
      </c>
      <c r="E813" s="68" t="inlineStr">
        <is>
          <t>의복 액세서리 및 모조 장신구 도매업</t>
        </is>
      </c>
      <c r="F813" s="68" t="inlineStr">
        <is>
          <t>◦모조 장신구 등을 도매하는 산업활동을 말한다.
&lt;예 시&gt;
·귀걸이 및 머리핀 도매
·브로치 도매
&lt;제 외&gt;
·모조 장식품 도매(513921)
*의복 액세서리(귀금속제 제외) 등 도매(→513191)
*단추 및 파스너(지퍼등), 기타 의복부착물 도매(→513991)</t>
        </is>
      </c>
      <c r="G813" s="90" t="n">
        <v>92.7</v>
      </c>
      <c r="H813" s="90" t="n">
        <v>0</v>
      </c>
      <c r="I813" s="90" t="n">
        <v>5.4</v>
      </c>
    </row>
    <row r="814" ht="17.25" customHeight="1" s="66">
      <c r="A814" s="65" t="inlineStr">
        <is>
          <t>513921</t>
        </is>
      </c>
      <c r="B814" s="68" t="inlineStr">
        <is>
          <t>도매 및 소매업</t>
        </is>
      </c>
      <c r="C814" s="68" t="inlineStr">
        <is>
          <t>도매 및 상품 중개업</t>
        </is>
      </c>
      <c r="D814" s="68" t="inlineStr">
        <is>
          <t>음반 및 비디오물, 악기, 오락 및 경기용품 도매업</t>
        </is>
      </c>
      <c r="E814" s="68" t="inlineStr">
        <is>
          <t>장난감 및 취미, 오락용품 도매업</t>
        </is>
      </c>
      <c r="F814" s="68" t="inlineStr">
        <is>
          <t>◦각종 장난감, 모조 장식품, 오락용 기기 및 장비를 도매하는 산업활동을 말한다.
&lt;예 시&gt;
·오락 게임용품 도매
·유희용구 도매
·당구장비 및 물품 도매
·화투 및 트럼프 도매
·세발 자전거 도매                      
&lt;제 외&gt;
·볼링장비 및 물품 도매(513941)
·의복 액세서리(귀금속 제외)(513191,513991)및 모조 장신용품 도매(513920)
*낚시도구 도매(→513945)
*휘, 트로피, 페난트, 뺏지, 메달 등 도매(→519991)</t>
        </is>
      </c>
      <c r="G814" s="90" t="n">
        <v>93.09999999999999</v>
      </c>
      <c r="H814" s="90" t="n">
        <v>0</v>
      </c>
      <c r="I814" s="90" t="n">
        <v>5.4</v>
      </c>
    </row>
    <row r="815" ht="17.25" customHeight="1" s="66">
      <c r="A815" s="65" t="inlineStr">
        <is>
          <t>513931</t>
        </is>
      </c>
      <c r="B815" s="68" t="inlineStr">
        <is>
          <t>도매 및 소매업</t>
        </is>
      </c>
      <c r="C815" s="68" t="inlineStr">
        <is>
          <t>도매 및 상품 중개업</t>
        </is>
      </c>
      <c r="D815" s="68" t="inlineStr">
        <is>
          <t>가방, 시계, 안경 및 기타 생활용품 도매업</t>
        </is>
      </c>
      <c r="E815" s="68" t="inlineStr">
        <is>
          <t>시계 및 귀금속 제품 도매업</t>
        </is>
      </c>
      <c r="F815" s="68" t="inlineStr">
        <is>
          <t>◦각종 시계 및 시계부품 등을 도매하는 산업활동을 말한다.
&lt;예 시&gt;
·시계 및 시계 부품 도매
·시계 케이스 도매
&lt;제 외&gt;
*제품화 하거나 세공하지 않은 황금(→513933)
*각종 귀금속 및 귀금속제품, 장신구 등 도매(→513934)</t>
        </is>
      </c>
      <c r="G815" s="90" t="n">
        <v>94.59999999999999</v>
      </c>
      <c r="H815" s="90" t="n">
        <v>0</v>
      </c>
      <c r="I815" s="90" t="n">
        <v>4.3</v>
      </c>
    </row>
    <row r="816" ht="17.25" customHeight="1" s="66">
      <c r="A816" s="65" t="inlineStr">
        <is>
          <t>513933</t>
        </is>
      </c>
      <c r="B816" s="68" t="inlineStr">
        <is>
          <t>도매 및 소매업</t>
        </is>
      </c>
      <c r="C816" s="68" t="inlineStr">
        <is>
          <t>도매 및 상품 중개업</t>
        </is>
      </c>
      <c r="D816" s="68" t="inlineStr">
        <is>
          <t>가방, 시계, 안경 및 기타 생활용품 도매업</t>
        </is>
      </c>
      <c r="E816" s="68" t="inlineStr">
        <is>
          <t>시계 및 귀금속 제품 도매업</t>
        </is>
      </c>
      <c r="F816" s="68" t="inlineStr">
        <is>
          <t>◦제품화 하거나 세공하지 않은 황금</t>
        </is>
      </c>
      <c r="G816" s="90" t="n">
        <v>97.09999999999999</v>
      </c>
      <c r="H816" s="90" t="n">
        <v>0</v>
      </c>
      <c r="I816" s="90" t="n">
        <v>1.9</v>
      </c>
    </row>
    <row r="817" ht="17.25" customHeight="1" s="66">
      <c r="A817" s="65" t="inlineStr">
        <is>
          <t>513934</t>
        </is>
      </c>
      <c r="B817" s="68" t="inlineStr">
        <is>
          <t>도매 및 소매업</t>
        </is>
      </c>
      <c r="C817" s="68" t="inlineStr">
        <is>
          <t>도매 및 상품 중개업</t>
        </is>
      </c>
      <c r="D817" s="68" t="inlineStr">
        <is>
          <t>가방, 시계, 안경 및 기타 생활용품 도매업</t>
        </is>
      </c>
      <c r="E817" s="68" t="inlineStr">
        <is>
          <t>시계 및 귀금속 제품 도매업</t>
        </is>
      </c>
      <c r="F817" s="68" t="inlineStr">
        <is>
          <t>◦각종 귀금속 및 귀금속제품, 장신구 등을 도매하는 산업활동을 말한다.
&lt;예 시&gt;
·보석 도매
·귀금속제 장신구 도매
·귀석제품 도매
·루비, 진주 도매
&lt;제 외&gt;
·귀금속 광물 도매(514250)
*제품화 하거나 세공하지 않은 황금(→513933)
*각종 시계 및 시계부품 등 도매(→513931)</t>
        </is>
      </c>
      <c r="G817" s="90" t="n">
        <v>91.90000000000001</v>
      </c>
      <c r="H817" s="90" t="n">
        <v>0</v>
      </c>
      <c r="I817" s="90" t="n">
        <v>3.6</v>
      </c>
    </row>
    <row r="818" ht="17.25" customHeight="1" s="66">
      <c r="A818" s="65" t="inlineStr">
        <is>
          <t>513941</t>
        </is>
      </c>
      <c r="B818" s="68" t="inlineStr">
        <is>
          <t>도매 및 소매업</t>
        </is>
      </c>
      <c r="C818" s="68" t="inlineStr">
        <is>
          <t>도매 및 상품 중개업</t>
        </is>
      </c>
      <c r="D818" s="68" t="inlineStr">
        <is>
          <t>음반 및 비디오물, 악기, 오락 및 경기용품 도매업</t>
        </is>
      </c>
      <c r="E818" s="68" t="inlineStr">
        <is>
          <t>운동 및 경기용품 도매업</t>
        </is>
      </c>
      <c r="F818" s="68" t="inlineStr">
        <is>
          <t>◦각종 운동 및 경기용품을 도매하는 산업활동을 말한다.
&lt;예 시&gt;
·운동장비 도매
·등산장비 및 용품 도매
·경기용품 도매
·등산화, 스키화 등 전문 스포츠 신발 도매
·볼링장비 도매
·텐트 도매
·안장 및 마구류 도매
&lt;제 외&gt;
*골프장비(→513942)</t>
        </is>
      </c>
      <c r="G818" s="90" t="n">
        <v>93.2</v>
      </c>
      <c r="H818" s="90" t="n">
        <v>0</v>
      </c>
      <c r="I818" s="90" t="n">
        <v>4.6</v>
      </c>
    </row>
    <row r="819" ht="17.25" customHeight="1" s="66">
      <c r="A819" s="65" t="inlineStr">
        <is>
          <t>513942</t>
        </is>
      </c>
      <c r="B819" s="68" t="inlineStr">
        <is>
          <t>도매 및 소매업</t>
        </is>
      </c>
      <c r="C819" s="68" t="inlineStr">
        <is>
          <t>도매 및 상품 중개업</t>
        </is>
      </c>
      <c r="D819" s="68" t="inlineStr">
        <is>
          <t>음반 및 비디오물, 악기, 오락 및 경기용품 도매업</t>
        </is>
      </c>
      <c r="E819" s="68" t="inlineStr">
        <is>
          <t>운동 및 경기용품 도매업</t>
        </is>
      </c>
      <c r="F819" s="68" t="inlineStr">
        <is>
          <t>◦골프장비
&lt;예 시&gt;
·골프공</t>
        </is>
      </c>
      <c r="G819" s="90" t="n">
        <v>87.3</v>
      </c>
      <c r="H819" s="90" t="n">
        <v>0</v>
      </c>
      <c r="I819" s="90" t="n">
        <v>5</v>
      </c>
    </row>
    <row r="820" ht="17.25" customHeight="1" s="66">
      <c r="A820" s="65" t="inlineStr">
        <is>
          <t>513945</t>
        </is>
      </c>
      <c r="B820" s="68" t="inlineStr">
        <is>
          <t>도매 및 소매업</t>
        </is>
      </c>
      <c r="C820" s="68" t="inlineStr">
        <is>
          <t>도매 및 상품 중개업</t>
        </is>
      </c>
      <c r="D820" s="68" t="inlineStr">
        <is>
          <t>음반 및 비디오물, 악기, 오락 및 경기용품 도매업</t>
        </is>
      </c>
      <c r="E820" s="68" t="inlineStr">
        <is>
          <t>장난감 및 취미, 오락용품 도매업</t>
        </is>
      </c>
      <c r="F820" s="68" t="inlineStr">
        <is>
          <t>◦낚시도구
&lt;예 시&gt;
·낚시장비, 미끼, 어망 도매</t>
        </is>
      </c>
      <c r="G820" s="90" t="n">
        <v>93.2</v>
      </c>
      <c r="H820" s="90" t="n">
        <v>0</v>
      </c>
      <c r="I820" s="90" t="n">
        <v>4.1</v>
      </c>
    </row>
    <row r="821" ht="17.25" customHeight="1" s="66">
      <c r="A821" s="65" t="inlineStr">
        <is>
          <t>513950</t>
        </is>
      </c>
      <c r="B821" s="68" t="inlineStr">
        <is>
          <t>도매 및 소매업</t>
        </is>
      </c>
      <c r="C821" s="68" t="inlineStr">
        <is>
          <t>도매 및 상품 중개업</t>
        </is>
      </c>
      <c r="D821" s="68" t="inlineStr">
        <is>
          <t>가방, 시계, 안경 및 기타 생활용품 도매업</t>
        </is>
      </c>
      <c r="E821" s="68" t="inlineStr">
        <is>
          <t>가방 및 보호용 케이스 도매업</t>
        </is>
      </c>
      <c r="F821" s="68" t="inlineStr">
        <is>
          <t>◦각종 재료(가죽, 플라스틱, 직물 등)로 만든 가방, 여행용품 및 기타 가정용 관련 가죽제품을 도매하는 산업활동을 말한다.
&lt;예 시&gt;
·지갑 및 핸드백 도매
·열쇠 케이스 도매
·여행용 가방(트렁크) 도매
·화장품 케이스 도매
·보호용 케이스 도매</t>
        </is>
      </c>
      <c r="G821" s="90" t="n">
        <v>94</v>
      </c>
      <c r="H821" s="90" t="n">
        <v>0</v>
      </c>
      <c r="I821" s="90" t="n">
        <v>7.1</v>
      </c>
    </row>
    <row r="822" ht="17.25" customHeight="1" s="66">
      <c r="A822" s="65" t="inlineStr">
        <is>
          <t>513960</t>
        </is>
      </c>
      <c r="B822" s="68" t="inlineStr">
        <is>
          <t>도매 및 소매업</t>
        </is>
      </c>
      <c r="C822" s="68" t="inlineStr">
        <is>
          <t>도매 및 상품 중개업</t>
        </is>
      </c>
      <c r="D822" s="68" t="inlineStr">
        <is>
          <t>음반 및 비디오물, 악기, 오락 및 경기용품 도매업</t>
        </is>
      </c>
      <c r="E822" s="68" t="inlineStr">
        <is>
          <t>자전거 및 기타 운송장비 도매업</t>
        </is>
      </c>
      <c r="F822" s="68" t="inlineStr">
        <is>
          <t>◦자전거 등의 기타 가정용 운송장비를 도매하는 산업활동을 말한다.
&lt;예 시&gt;
·자전거 및 부품 도매
·개인용 운송장비 도매(동력식)
&lt;제 외&gt;
*유모차 도매(→513297)
*리어카, 휠체어(→515093)</t>
        </is>
      </c>
      <c r="G822" s="90" t="n">
        <v>93.7</v>
      </c>
      <c r="H822" s="90" t="n">
        <v>0</v>
      </c>
      <c r="I822" s="90" t="n">
        <v>3.2</v>
      </c>
    </row>
    <row r="823" ht="17.25" customHeight="1" s="66">
      <c r="A823" s="65" t="inlineStr">
        <is>
          <t>513991</t>
        </is>
      </c>
      <c r="B823" s="68" t="inlineStr">
        <is>
          <t>도매 및 소매업</t>
        </is>
      </c>
      <c r="C823" s="68" t="inlineStr">
        <is>
          <t>도매 및 상품 중개업</t>
        </is>
      </c>
      <c r="D823" s="68" t="inlineStr">
        <is>
          <t>생활용 섬유제품, 의복, 의복 액세서리 및 모피제품 도매업</t>
        </is>
      </c>
      <c r="E823" s="68" t="inlineStr">
        <is>
          <t>의복 액세서리 및 모조 장신구 도매업</t>
        </is>
      </c>
      <c r="F823" s="68" t="inlineStr">
        <is>
          <t>◦단추, 지퍼, 버클, 각반
◦기타 착신 및 의복부착물
 ·의복용벨트, 의복액세서리(귀금속 및 모피제제외)</t>
        </is>
      </c>
      <c r="G823" s="90" t="n">
        <v>93.09999999999999</v>
      </c>
      <c r="H823" s="90" t="n">
        <v>0</v>
      </c>
      <c r="I823" s="90" t="n">
        <v>4.2</v>
      </c>
    </row>
    <row r="824" ht="17.25" customHeight="1" s="66">
      <c r="A824" s="65" t="inlineStr">
        <is>
          <t>513992</t>
        </is>
      </c>
      <c r="B824" s="68" t="inlineStr">
        <is>
          <t>도매 및 소매업</t>
        </is>
      </c>
      <c r="C824" s="68" t="inlineStr">
        <is>
          <t>도매 및 상품 중개업</t>
        </is>
      </c>
      <c r="D824" s="68" t="inlineStr">
        <is>
          <t>가방, 시계, 안경 및 기타 생활용품 도매업</t>
        </is>
      </c>
      <c r="E824" s="68" t="inlineStr">
        <is>
          <t>그 외 기타 생활용품 도매업</t>
        </is>
      </c>
      <c r="F824" s="68" t="inlineStr">
        <is>
          <t>◦그 외 기타 생활용품 도매업으로서 광택제, 접착제 등의 소비용 화학제품 및 기타 생활용품 또는 소비자용 잡제품을 도매하는 산업활동을 말한다.
&lt;예 시&gt;
·청소용품 도매
·흡연용품 도매
·파라솔 도매
·양산 및 우산 도매
·칫솔, 비, 솔, 걸레 도매
·소화기 도매
·광택제, 접착제 등 가정용 화학제품 도매
·방충제(가정용) 도매
·가마니, 새끼 등 고공품 도매</t>
        </is>
      </c>
      <c r="G824" s="90" t="n">
        <v>93.2</v>
      </c>
      <c r="H824" s="90" t="n">
        <v>0</v>
      </c>
      <c r="I824" s="90" t="n">
        <v>3.7</v>
      </c>
    </row>
    <row r="825" ht="17.25" customHeight="1" s="66">
      <c r="A825" s="65" t="inlineStr">
        <is>
          <t>514111</t>
        </is>
      </c>
      <c r="B825" s="68" t="inlineStr">
        <is>
          <t>도매 및 소매업</t>
        </is>
      </c>
      <c r="C825" s="68" t="inlineStr">
        <is>
          <t>도매 및 상품 중개업</t>
        </is>
      </c>
      <c r="D825" s="68" t="inlineStr">
        <is>
          <t>연료, 연료용 광물 및 관련제품 도매업</t>
        </is>
      </c>
      <c r="E825" s="68" t="inlineStr">
        <is>
          <t>고체 연료 및 관련제품 도매업</t>
        </is>
      </c>
      <c r="F825" s="68" t="inlineStr">
        <is>
          <t>◦연탄</t>
        </is>
      </c>
      <c r="G825" s="90" t="n">
        <v>97.2</v>
      </c>
      <c r="H825" s="90" t="n">
        <v>0</v>
      </c>
      <c r="I825" s="90" t="n">
        <v>2.2</v>
      </c>
    </row>
    <row r="826" ht="17.25" customHeight="1" s="66">
      <c r="A826" s="65" t="inlineStr">
        <is>
          <t>514112</t>
        </is>
      </c>
      <c r="B826" s="68" t="inlineStr">
        <is>
          <t>도매 및 소매업</t>
        </is>
      </c>
      <c r="C826" s="68" t="inlineStr">
        <is>
          <t>도매 및 상품 중개업</t>
        </is>
      </c>
      <c r="D826" s="68" t="inlineStr">
        <is>
          <t>연료, 연료용 광물 및 관련제품 도매업</t>
        </is>
      </c>
      <c r="E826" s="68" t="inlineStr">
        <is>
          <t>고체 연료 및 관련제품 도매업</t>
        </is>
      </c>
      <c r="F826" s="68" t="inlineStr">
        <is>
          <t>◦각종 용도의 고체 연료와 이들의 관련제품을 도매하는 산업활동을 말한다.
&lt;예 시&gt;
·목탄 도매
·장작 도매
·석탄 및 토탄 도매
·핵 연료 도매
·착화탄 도매
·코크스 도매
&lt;제 외&gt;
·양초, 발화성 물질 등 연료용 이외의 연소물질 도매(513992)
*연탄(→514111)</t>
        </is>
      </c>
      <c r="G826" s="90" t="n">
        <v>95.40000000000001</v>
      </c>
      <c r="H826" s="90" t="n">
        <v>0</v>
      </c>
      <c r="I826" s="90" t="n">
        <v>4.2</v>
      </c>
    </row>
    <row r="827" ht="17.25" customHeight="1" s="66">
      <c r="A827" s="65" t="inlineStr">
        <is>
          <t>514121</t>
        </is>
      </c>
      <c r="B827" s="68" t="inlineStr">
        <is>
          <t>도매 및 소매업</t>
        </is>
      </c>
      <c r="C827" s="68" t="inlineStr">
        <is>
          <t>도매 및 상품 중개업</t>
        </is>
      </c>
      <c r="D827" s="68" t="inlineStr">
        <is>
          <t>연료, 연료용 광물 및 관련제품 도매업</t>
        </is>
      </c>
      <c r="E827" s="68" t="inlineStr">
        <is>
          <t>액체 연료 및 관련제품 도매업</t>
        </is>
      </c>
      <c r="F827" s="68" t="inlineStr">
        <is>
          <t>◦각종 용도의 액체 연료 및 관련제품을 도매하는 산업활동을 말한다. 윤활유 도매도 여기에 포함한다.
&lt;예 시&gt;
·원유 도매
·그리스 도매
·벙커유 도매
·알코올 연료 도매
·기계유 도매
·파라핀 도매</t>
        </is>
      </c>
      <c r="G827" s="90" t="n">
        <v>96</v>
      </c>
      <c r="H827" s="90" t="n">
        <v>0</v>
      </c>
      <c r="I827" s="90" t="n">
        <v>3.2</v>
      </c>
    </row>
    <row r="828" ht="17.25" customHeight="1" s="66">
      <c r="A828" s="65" t="inlineStr">
        <is>
          <t>514122</t>
        </is>
      </c>
      <c r="B828" s="68" t="inlineStr">
        <is>
          <t>도매 및 소매업</t>
        </is>
      </c>
      <c r="C828" s="68" t="inlineStr">
        <is>
          <t>도매 및 상품 중개업</t>
        </is>
      </c>
      <c r="D828" s="68" t="inlineStr">
        <is>
          <t>재생용 재료 및 기타 상품 전문 도매업</t>
        </is>
      </c>
      <c r="E828" s="68" t="inlineStr">
        <is>
          <t>그 외 기타 상품 전문 도매업</t>
        </is>
      </c>
      <c r="F828" s="68" t="inlineStr">
        <is>
          <t>◦아스팔트</t>
        </is>
      </c>
      <c r="G828" s="90" t="n">
        <v>93.7</v>
      </c>
      <c r="H828" s="90" t="n">
        <v>0</v>
      </c>
      <c r="I828" s="90" t="n">
        <v>3.3</v>
      </c>
    </row>
    <row r="829" ht="17.25" customHeight="1" s="66">
      <c r="A829" s="65" t="inlineStr">
        <is>
          <t>514130</t>
        </is>
      </c>
      <c r="B829" s="68" t="inlineStr">
        <is>
          <t>도매 및 소매업</t>
        </is>
      </c>
      <c r="C829" s="68" t="inlineStr">
        <is>
          <t>도매 및 상품 중개업</t>
        </is>
      </c>
      <c r="D829" s="68" t="inlineStr">
        <is>
          <t>연료, 연료용 광물 및 관련제품 도매업</t>
        </is>
      </c>
      <c r="E829" s="68" t="inlineStr">
        <is>
          <t>기체 연료 및 관련제품 도매업</t>
        </is>
      </c>
      <c r="F829" s="68" t="inlineStr">
        <is>
          <t>◦벌크 또는 충전 상태의 기체 연료 및 관련제품을 도매하는 산업활동을 말한다.
&lt;예 시&gt;
·액화 석유 가스(LPG) 도매
·연료 가스 도매
·액화 천연 가스(LNG) 도매
&lt;제 외&gt;
·배관시설에 의한 연료가스 공급(402001)</t>
        </is>
      </c>
      <c r="G829" s="90" t="n">
        <v>94.90000000000001</v>
      </c>
      <c r="H829" s="90" t="n">
        <v>0</v>
      </c>
      <c r="I829" s="90" t="n">
        <v>5</v>
      </c>
    </row>
    <row r="830" ht="17.25" customHeight="1" s="66">
      <c r="A830" s="65" t="inlineStr">
        <is>
          <t>514210</t>
        </is>
      </c>
      <c r="B830" s="68" t="inlineStr">
        <is>
          <t>도매 및 소매업</t>
        </is>
      </c>
      <c r="C830" s="68" t="inlineStr">
        <is>
          <t>도매 및 상품 중개업</t>
        </is>
      </c>
      <c r="D830" s="68" t="inlineStr">
        <is>
          <t>1차 금속제품 및 금속광물 도매업</t>
        </is>
      </c>
      <c r="E830" s="68" t="inlineStr">
        <is>
          <t>1차 금속제품 도매업</t>
        </is>
      </c>
      <c r="F830" s="68" t="inlineStr">
        <is>
          <t>◦철 및 비철금속으로 만든 철근 등의 1차 금속제품을 도매하는 산업활동을 말하며, 구매자의 요구에 따라 단순 절단활동이 병행될 수 있다.
&lt;예 시&gt;
·철근 도매</t>
        </is>
      </c>
      <c r="G830" s="90" t="n">
        <v>90.7</v>
      </c>
      <c r="H830" s="90" t="n">
        <v>0</v>
      </c>
      <c r="I830" s="90" t="n">
        <v>3.3</v>
      </c>
    </row>
    <row r="831" ht="17.25" customHeight="1" s="66">
      <c r="A831" s="65" t="inlineStr">
        <is>
          <t>514220</t>
        </is>
      </c>
      <c r="B831" s="68" t="inlineStr">
        <is>
          <t>도매 및 소매업</t>
        </is>
      </c>
      <c r="C831" s="68" t="inlineStr">
        <is>
          <t>도매 및 상품 중개업</t>
        </is>
      </c>
      <c r="D831" s="68" t="inlineStr">
        <is>
          <t>1차 금속제품 및 금속광물 도매업</t>
        </is>
      </c>
      <c r="E831" s="68" t="inlineStr">
        <is>
          <t>1차 금속제품 도매업</t>
        </is>
      </c>
      <c r="F831" s="68" t="inlineStr">
        <is>
          <t>◦철 및 비철금속으로 만든 관 등의 1차 금속제품을 도매하는 산업활동을 말하며, 구매자의 요구에 따라 단순 절단활동이 병행될 수 있다.
&lt;예 시&gt;
·고압 도관 도매
·고압호스(금속관)
·강관, 강재 도매
·비철금속 관 도매
·관 이음새 도매
&lt;제 외&gt;
*동관(→514292)</t>
        </is>
      </c>
      <c r="G831" s="90" t="n">
        <v>93.2</v>
      </c>
      <c r="H831" s="90" t="n">
        <v>0</v>
      </c>
      <c r="I831" s="90" t="n">
        <v>3.5</v>
      </c>
    </row>
    <row r="832" ht="17.25" customHeight="1" s="66">
      <c r="A832" s="65" t="inlineStr">
        <is>
          <t>514232</t>
        </is>
      </c>
      <c r="B832" s="68" t="inlineStr">
        <is>
          <t>도매 및 소매업</t>
        </is>
      </c>
      <c r="C832" s="68" t="inlineStr">
        <is>
          <t>도매 및 상품 중개업</t>
        </is>
      </c>
      <c r="D832" s="68" t="inlineStr">
        <is>
          <t>1차 금속제품 및 금속광물 도매업</t>
        </is>
      </c>
      <c r="E832" s="68" t="inlineStr">
        <is>
          <t>1차 금속제품 도매업</t>
        </is>
      </c>
      <c r="F832" s="68" t="inlineStr">
        <is>
          <t>◦함석, 아연도철판, 석도철판, 칼라철판, 스텐레스판 도매</t>
        </is>
      </c>
      <c r="G832" s="90" t="n">
        <v>95.59999999999999</v>
      </c>
      <c r="H832" s="90" t="n">
        <v>0</v>
      </c>
      <c r="I832" s="90" t="n">
        <v>2.8</v>
      </c>
    </row>
    <row r="833" ht="17.25" customHeight="1" s="66">
      <c r="A833" s="65" t="inlineStr">
        <is>
          <t>514239</t>
        </is>
      </c>
      <c r="B833" s="68" t="inlineStr">
        <is>
          <t>도매 및 소매업</t>
        </is>
      </c>
      <c r="C833" s="68" t="inlineStr">
        <is>
          <t>도매 및 상품 중개업</t>
        </is>
      </c>
      <c r="D833" s="68" t="inlineStr">
        <is>
          <t>1차 금속제품 및 금속광물 도매업</t>
        </is>
      </c>
      <c r="E833" s="68" t="inlineStr">
        <is>
          <t>1차 금속제품 도매업</t>
        </is>
      </c>
      <c r="F833" s="68" t="inlineStr">
        <is>
          <t>◦철 및 비철금속으로 만든 판재 등의 1차 금속제품을 도매하는 산업활동을 말하며, 구매자의 요구에 따라 단순 절단활동이 병행될 수 있다.
&lt;예 시&gt;
·강판 도매
·비철금속 판재 도매
·동판, 알루미늄판 도매
&lt;제 외&gt;
*함석, 아연도철판, 석도철판, 칼라철판, 스텐레스판 도매(→514232)</t>
        </is>
      </c>
      <c r="G833" s="90" t="n">
        <v>92.40000000000001</v>
      </c>
      <c r="H833" s="90" t="n">
        <v>0</v>
      </c>
      <c r="I833" s="90" t="n">
        <v>3.7</v>
      </c>
    </row>
    <row r="834" ht="17.25" customHeight="1" s="66">
      <c r="A834" s="65" t="inlineStr">
        <is>
          <t>514240</t>
        </is>
      </c>
      <c r="B834" s="68" t="inlineStr">
        <is>
          <t>도매 및 소매업</t>
        </is>
      </c>
      <c r="C834" s="68" t="inlineStr">
        <is>
          <t>도매 및 상품 중개업</t>
        </is>
      </c>
      <c r="D834" s="68" t="inlineStr">
        <is>
          <t>1차 금속제품 및 금속광물 도매업</t>
        </is>
      </c>
      <c r="E834" s="68" t="inlineStr">
        <is>
          <t>1차 금속제품 도매업</t>
        </is>
      </c>
      <c r="F834" s="68" t="inlineStr">
        <is>
          <t>◦철 및 비철금속으로 만든 선재 등의 1차 금속제품을 도매하는 산업활동을 말하며, 구매자의 요구에 따라 단순 절단활동이 병행될 수 있다.
&lt;예 시&gt;
·강선 도매
·비철금속 선 도매</t>
        </is>
      </c>
      <c r="G834" s="90" t="n">
        <v>91.3</v>
      </c>
      <c r="H834" s="90" t="n">
        <v>0</v>
      </c>
      <c r="I834" s="90" t="n">
        <v>3.9</v>
      </c>
    </row>
    <row r="835" ht="17.25" customHeight="1" s="66">
      <c r="A835" s="65" t="inlineStr">
        <is>
          <t>514250</t>
        </is>
      </c>
      <c r="B835" s="68" t="inlineStr">
        <is>
          <t>도매 및 소매업</t>
        </is>
      </c>
      <c r="C835" s="68" t="inlineStr">
        <is>
          <t>도매 및 상품 중개업</t>
        </is>
      </c>
      <c r="D835" s="68" t="inlineStr">
        <is>
          <t>1차 금속제품 및 금속광물 도매업</t>
        </is>
      </c>
      <c r="E835" s="68" t="inlineStr">
        <is>
          <t>금속광물 도매업</t>
        </is>
      </c>
      <c r="F835" s="68" t="inlineStr">
        <is>
          <t>◦각종 금속광물을 도매하는 산업활동을 말한다.
&lt;예 시&gt;
·철광석 도매
·비철금속 광물 도매
·귀금속 광물 도매
·보크사이트 도매</t>
        </is>
      </c>
      <c r="G835" s="90" t="n">
        <v>93.2</v>
      </c>
      <c r="H835" s="90" t="n">
        <v>0</v>
      </c>
      <c r="I835" s="90" t="n">
        <v>10</v>
      </c>
    </row>
    <row r="836" ht="17.25" customHeight="1" s="66">
      <c r="A836" s="65" t="inlineStr">
        <is>
          <t>514291</t>
        </is>
      </c>
      <c r="B836" s="68" t="inlineStr">
        <is>
          <t>도매 및 소매업</t>
        </is>
      </c>
      <c r="C836" s="68" t="inlineStr">
        <is>
          <t>도매 및 상품 중개업</t>
        </is>
      </c>
      <c r="D836" s="68" t="inlineStr">
        <is>
          <t>1차 금속제품 및 금속광물 도매업</t>
        </is>
      </c>
      <c r="E836" s="68" t="inlineStr">
        <is>
          <t>1차 금속제품 도매업</t>
        </is>
      </c>
      <c r="F836" s="68" t="inlineStr">
        <is>
          <t>◦연, 주물 도매</t>
        </is>
      </c>
      <c r="G836" s="90" t="n">
        <v>93.40000000000001</v>
      </c>
      <c r="H836" s="90" t="n">
        <v>0</v>
      </c>
      <c r="I836" s="90" t="n">
        <v>6.5</v>
      </c>
    </row>
    <row r="837" ht="17.25" customHeight="1" s="66">
      <c r="A837" s="65" t="inlineStr">
        <is>
          <t>514292</t>
        </is>
      </c>
      <c r="B837" s="68" t="inlineStr">
        <is>
          <t>도매 및 소매업</t>
        </is>
      </c>
      <c r="C837" s="68" t="inlineStr">
        <is>
          <t>도매 및 상품 중개업</t>
        </is>
      </c>
      <c r="D837" s="68" t="inlineStr">
        <is>
          <t>1차 금속제품 및 금속광물 도매업</t>
        </is>
      </c>
      <c r="E837" s="68" t="inlineStr">
        <is>
          <t>1차 금속제품 도매업</t>
        </is>
      </c>
      <c r="F837" s="68" t="inlineStr">
        <is>
          <t>◦철 및 비철금속으로 만든 기타 1차 금속제품을 도매하는 산업활동을 말하며, 구매자의 요구에 따라 단순 절단활동이 병행될 수 있다.
&lt;예 시&gt;
·동관, 동중공봉
·니켈 합금 도매
·달리 분류되지 않은 금속 및 광물로서 1차금속 및 반성재의 철강, 형강, 쉬트바, C형강 등
&lt;제 외&gt;
*연, 주물 도매(→514291)</t>
        </is>
      </c>
      <c r="G837" s="90" t="n">
        <v>91.59999999999999</v>
      </c>
      <c r="H837" s="90" t="n">
        <v>0</v>
      </c>
      <c r="I837" s="90" t="n">
        <v>3.7</v>
      </c>
    </row>
    <row r="838" ht="17.25" customHeight="1" s="66">
      <c r="A838" s="65" t="inlineStr">
        <is>
          <t>514312</t>
        </is>
      </c>
      <c r="B838" s="68" t="inlineStr">
        <is>
          <t>도매 및 소매업</t>
        </is>
      </c>
      <c r="C838" s="68" t="inlineStr">
        <is>
          <t>도매 및 상품 중개업</t>
        </is>
      </c>
      <c r="D838" s="68" t="inlineStr">
        <is>
          <t>일반 건축자재 도매업</t>
        </is>
      </c>
      <c r="E838" s="68" t="inlineStr">
        <is>
          <t>원목 및 건축관련 목제품 도매업</t>
        </is>
      </c>
      <c r="F838" s="68" t="inlineStr">
        <is>
          <t>◦원목, 건축용 목재 공작물, 가공 목재제품, 재생목재 등을 도매하는 산업활동을 말한다.
&lt;예 시&gt;
·나무 판재 도매
·나무 각재 도매
·목재 창호(건구, fittings) 도매
·합판 도매</t>
        </is>
      </c>
      <c r="G838" s="90" t="n">
        <v>93.3</v>
      </c>
      <c r="H838" s="90" t="n">
        <v>0</v>
      </c>
      <c r="I838" s="90" t="n">
        <v>4.5</v>
      </c>
    </row>
    <row r="839" ht="17.25" customHeight="1" s="66">
      <c r="A839" s="65" t="inlineStr">
        <is>
          <t>514320</t>
        </is>
      </c>
      <c r="B839" s="68" t="inlineStr">
        <is>
          <t>도매 및 소매업</t>
        </is>
      </c>
      <c r="C839" s="68" t="inlineStr">
        <is>
          <t>도매 및 상품 중개업</t>
        </is>
      </c>
      <c r="D839" s="68" t="inlineStr">
        <is>
          <t>일반 건축자재 도매업</t>
        </is>
      </c>
      <c r="E839" s="68" t="inlineStr">
        <is>
          <t>골재, 벽돌 및 시멘트 도매업</t>
        </is>
      </c>
      <c r="F839" s="68" t="inlineStr">
        <is>
          <t>◦석회 및 각종 시멘트를 도매하는 산업활동을 말한다.
&lt;예 시&gt;
·플라스터 도매
·혼합 모르타르 도매
·석회 도매
·콘크리트 제품 도매
·레미콘 도매
·대리석(인조 대리석 포함) 도매
&lt;제 외&gt;
*골재 등 도매(→514330)
*벽돌 및 비내화용 혼합물 도매(→514380)</t>
        </is>
      </c>
      <c r="G839" s="90" t="n">
        <v>94.40000000000001</v>
      </c>
      <c r="H839" s="90" t="n">
        <v>0</v>
      </c>
      <c r="I839" s="90" t="n">
        <v>5.1</v>
      </c>
    </row>
    <row r="840" ht="17.25" customHeight="1" s="66">
      <c r="A840" s="65" t="inlineStr">
        <is>
          <t>514321</t>
        </is>
      </c>
      <c r="B840" s="68" t="inlineStr">
        <is>
          <t>도매 및 소매업</t>
        </is>
      </c>
      <c r="C840" s="68" t="inlineStr">
        <is>
          <t>도매 및 상품 중개업</t>
        </is>
      </c>
      <c r="D840" s="68" t="inlineStr">
        <is>
          <t>일반 건축자재 도매업</t>
        </is>
      </c>
      <c r="E840" s="68" t="inlineStr">
        <is>
          <t>유리 및 창호 도매업</t>
        </is>
      </c>
      <c r="F840" s="68" t="inlineStr">
        <is>
          <t>◦건축용 유리제품 및 창호를 도매하는 산업활동을 말한다. 광학용 유리 및 목재 창호는 제외한다.
&lt;예 시&gt;
·플라스틱 또는 금속제 문 도매
·판유리 도매·건축용 유리 도매
·복층 절연유리 도매
·창틀(목재 제외) 도매
&lt;제 외&gt;
·생활용 및 주방용 유리제품 도매(513271)
·유리섬유 도매(514990)
·목재 창호 도매(514312)</t>
        </is>
      </c>
      <c r="G840" s="90" t="n">
        <v>94.40000000000001</v>
      </c>
      <c r="H840" s="90" t="n">
        <v>0</v>
      </c>
      <c r="I840" s="90" t="n">
        <v>5.7</v>
      </c>
    </row>
    <row r="841" ht="17.25" customHeight="1" s="66">
      <c r="A841" s="65" t="inlineStr">
        <is>
          <t>514330</t>
        </is>
      </c>
      <c r="B841" s="68" t="inlineStr">
        <is>
          <t>도매 및 소매업</t>
        </is>
      </c>
      <c r="C841" s="68" t="inlineStr">
        <is>
          <t>도매 및 상품 중개업</t>
        </is>
      </c>
      <c r="D841" s="68" t="inlineStr">
        <is>
          <t>일반 건축자재 도매업</t>
        </is>
      </c>
      <c r="E841" s="68" t="inlineStr">
        <is>
          <t>골재, 벽돌 및 시멘트 도매업</t>
        </is>
      </c>
      <c r="F841" s="68" t="inlineStr">
        <is>
          <t>◦골재 등을 도매하는 산업활동을 말한다.
&lt;예 시&gt;
·쇄석 도매
&lt;제 외&gt;
*석회 및 각종 시멘트 도매(→514320)
*벽돌 및 비내화용 혼합물 도매(→514380)</t>
        </is>
      </c>
      <c r="G841" s="90" t="n">
        <v>93.5</v>
      </c>
      <c r="H841" s="90" t="n">
        <v>0</v>
      </c>
      <c r="I841" s="90" t="n">
        <v>8.800000000000001</v>
      </c>
    </row>
    <row r="842" ht="17.25" customHeight="1" s="66">
      <c r="A842" s="65" t="inlineStr">
        <is>
          <t>514350</t>
        </is>
      </c>
      <c r="B842" s="68" t="inlineStr">
        <is>
          <t>도매 및 소매업</t>
        </is>
      </c>
      <c r="C842" s="68" t="inlineStr">
        <is>
          <t>도매 및 상품 중개업</t>
        </is>
      </c>
      <c r="D842" s="68" t="inlineStr">
        <is>
          <t>기타 건축자재 도매업</t>
        </is>
      </c>
      <c r="E842" s="68" t="inlineStr">
        <is>
          <t>도료 도매업</t>
        </is>
      </c>
      <c r="F842" s="68" t="inlineStr">
        <is>
          <t>◦유성 도료, 수성 도료, 방수액 등 도료 및 관련 제품을 도매하는 산업활동을 말한다.
&lt;예 시&gt;
·형광 도료 도매
·래커 도매
·페인트 도매
·요업용 도료 도매
·바니시 도매
·옻칠제품 도매
·방수액 도매</t>
        </is>
      </c>
      <c r="G842" s="90" t="n">
        <v>92.7</v>
      </c>
      <c r="H842" s="90" t="n">
        <v>0</v>
      </c>
      <c r="I842" s="90" t="n">
        <v>4.3</v>
      </c>
    </row>
    <row r="843" ht="17.25" customHeight="1" s="66">
      <c r="A843" s="65" t="inlineStr">
        <is>
          <t>514361</t>
        </is>
      </c>
      <c r="B843" s="68" t="inlineStr">
        <is>
          <t>도매 및 소매업</t>
        </is>
      </c>
      <c r="C843" s="68" t="inlineStr">
        <is>
          <t>도매 및 상품 중개업</t>
        </is>
      </c>
      <c r="D843" s="68" t="inlineStr">
        <is>
          <t>냉ㆍ난방장치 및 철물, 수공구 도매업</t>
        </is>
      </c>
      <c r="E843" s="68" t="inlineStr">
        <is>
          <t>철물, 금속 파스너 및 수공구 도매업</t>
        </is>
      </c>
      <c r="F843" s="68" t="inlineStr">
        <is>
          <t>◦일반 철물, 금속 파스너 및 각종 용도의 수공구 등을 도매하는 산업활동을 말한다.
&lt;예 시&gt;
·건축관련 철물 도매
·가정용 수공구 도매
·열쇠 및 자물쇠 도매
·제조업용 수공구 도매
·못, 볼트 도매
·비동력식 잔디깎이용 수공구
·용접봉 도매
·농업용 수공구 도매
&lt;제 외&gt;
·주방용 금속제품 및 날붙이(칼, 가위, 면도기 등) 도매(513230)
·비설치용 난방용구 도매(513221)
·전동공구, 기계공구 도매(515040)</t>
        </is>
      </c>
      <c r="G843" s="90" t="n">
        <v>92.2</v>
      </c>
      <c r="H843" s="90" t="n">
        <v>0</v>
      </c>
      <c r="I843" s="90" t="n">
        <v>4.8</v>
      </c>
    </row>
    <row r="844" ht="17.25" customHeight="1" s="66">
      <c r="A844" s="65" t="inlineStr">
        <is>
          <t>514366</t>
        </is>
      </c>
      <c r="B844" s="68" t="inlineStr">
        <is>
          <t>도매 및 소매업</t>
        </is>
      </c>
      <c r="C844" s="68" t="inlineStr">
        <is>
          <t>도매 및 상품 중개업</t>
        </is>
      </c>
      <c r="D844" s="68" t="inlineStr">
        <is>
          <t>냉ㆍ난방장치 및 철물, 수공구 도매업</t>
        </is>
      </c>
      <c r="E844" s="68" t="inlineStr">
        <is>
          <t>배관 및 냉ㆍ난방장치 도매업</t>
        </is>
      </c>
      <c r="F844" s="68" t="inlineStr">
        <is>
          <t>◦설치용 냉◦난방장치 및 배관장치 등을 도매하는 산업활동을 말한다.
&lt;예 시&gt;
·중앙 난방장치 도매
·중앙 냉방장치 도매
·배관장치 도매
·보일러 도매</t>
        </is>
      </c>
      <c r="G844" s="90" t="n">
        <v>92.2</v>
      </c>
      <c r="H844" s="90" t="n">
        <v>0</v>
      </c>
      <c r="I844" s="90" t="n">
        <v>4.5</v>
      </c>
    </row>
    <row r="845" ht="17.25" customHeight="1" s="66">
      <c r="A845" s="65" t="inlineStr">
        <is>
          <t>514370</t>
        </is>
      </c>
      <c r="B845" s="68" t="inlineStr">
        <is>
          <t>도매 및 소매업</t>
        </is>
      </c>
      <c r="C845" s="68" t="inlineStr">
        <is>
          <t>도매 및 상품 중개업</t>
        </is>
      </c>
      <c r="D845" s="68" t="inlineStr">
        <is>
          <t>기타 건축자재 도매업</t>
        </is>
      </c>
      <c r="E845" s="68" t="inlineStr">
        <is>
          <t>그 외 기타 건축자재 도매업</t>
        </is>
      </c>
      <c r="F845" s="68" t="inlineStr">
        <is>
          <t>◦각종 재료제의 완전한 조립식 건축물, 조립용 조립세트 및 구조재(가설재 포함)</t>
        </is>
      </c>
      <c r="G845" s="90" t="n">
        <v>92.2</v>
      </c>
      <c r="H845" s="90" t="n">
        <v>0</v>
      </c>
      <c r="I845" s="90" t="n">
        <v>7.1</v>
      </c>
    </row>
    <row r="846" ht="17.25" customHeight="1" s="66">
      <c r="A846" s="65" t="inlineStr">
        <is>
          <t>514380</t>
        </is>
      </c>
      <c r="B846" s="68" t="inlineStr">
        <is>
          <t>도매 및 소매업</t>
        </is>
      </c>
      <c r="C846" s="68" t="inlineStr">
        <is>
          <t>도매 및 상품 중개업</t>
        </is>
      </c>
      <c r="D846" s="68" t="inlineStr">
        <is>
          <t>일반 건축자재 도매업</t>
        </is>
      </c>
      <c r="E846" s="68" t="inlineStr">
        <is>
          <t>골재, 벽돌 및 시멘트 도매업</t>
        </is>
      </c>
      <c r="F846" s="68" t="inlineStr">
        <is>
          <t>◦벽돌 및 비내화용 혼합물을 도매하는 경우도 포함한다.
&lt;예 시&gt;
·기와 도매
·내화 및 비내화 벽돌 도매
&lt;제 외&gt;
*석회 및 각종 시멘트 도매(→514320)
*골재 등 도매(→514330)</t>
        </is>
      </c>
      <c r="G846" s="90" t="n">
        <v>89</v>
      </c>
      <c r="H846" s="90" t="n">
        <v>0</v>
      </c>
      <c r="I846" s="90" t="n">
        <v>4.8</v>
      </c>
    </row>
    <row r="847" ht="17.25" customHeight="1" s="66">
      <c r="A847" s="65" t="inlineStr">
        <is>
          <t>514392</t>
        </is>
      </c>
      <c r="B847" s="68" t="inlineStr">
        <is>
          <t>도매 및 소매업</t>
        </is>
      </c>
      <c r="C847" s="68" t="inlineStr">
        <is>
          <t>도매 및 상품 중개업</t>
        </is>
      </c>
      <c r="D847" s="68" t="inlineStr">
        <is>
          <t>기타 건축자재 도매업</t>
        </is>
      </c>
      <c r="E847" s="68" t="inlineStr">
        <is>
          <t>그 외 기타 건축자재 도매업</t>
        </is>
      </c>
      <c r="F847" s="68" t="inlineStr">
        <is>
          <t>◦정화조
&lt;예 시&gt;
·FRP 정화조 도매</t>
        </is>
      </c>
      <c r="G847" s="90" t="n">
        <v>92.90000000000001</v>
      </c>
      <c r="H847" s="90" t="n">
        <v>0</v>
      </c>
      <c r="I847" s="90" t="n">
        <v>4.5</v>
      </c>
    </row>
    <row r="848" ht="17.25" customHeight="1" s="66">
      <c r="A848" s="65" t="inlineStr">
        <is>
          <t>514393</t>
        </is>
      </c>
      <c r="B848" s="68" t="inlineStr">
        <is>
          <t>도매 및 소매업</t>
        </is>
      </c>
      <c r="C848" s="68" t="inlineStr">
        <is>
          <t>도매 및 상품 중개업</t>
        </is>
      </c>
      <c r="D848" s="68" t="inlineStr">
        <is>
          <t>기타 건축자재 도매업</t>
        </is>
      </c>
      <c r="E848" s="68" t="inlineStr">
        <is>
          <t>그 외 기타 건축자재 도매업</t>
        </is>
      </c>
      <c r="F848" s="68" t="inlineStr">
        <is>
          <t>◦방음용, 단열용 재료, 석고 보드, 천장재, 타일, 위생용 및 내화용 요업제품 등의 건축자재를 도매하는 산업활동을 말한다. 각종 건축자재를 종합적으로 도매하는 산업활동도 포함한다.
&lt;예 시&gt;
·건축용 타일 도매
·바닥 내장재 도매
·금속제 난간 도매
·스티로폼 도매
·욕조, 세면대, 변기 도매
&lt;제 외&gt;
*조립식 건축물, 조립용 조립세트 및 구조재(→514370)
*정화조 도매(→514392)</t>
        </is>
      </c>
      <c r="G848" s="90" t="n">
        <v>92.2</v>
      </c>
      <c r="H848" s="90" t="n">
        <v>0</v>
      </c>
      <c r="I848" s="90" t="n">
        <v>4.8</v>
      </c>
    </row>
    <row r="849" ht="17.25" customHeight="1" s="66">
      <c r="A849" s="65" t="inlineStr">
        <is>
          <t>514911</t>
        </is>
      </c>
      <c r="B849" s="68" t="inlineStr">
        <is>
          <t>도매 및 소매업</t>
        </is>
      </c>
      <c r="C849" s="68" t="inlineStr">
        <is>
          <t>도매 및 상품 중개업</t>
        </is>
      </c>
      <c r="D849" s="68" t="inlineStr">
        <is>
          <t>화학 물질 및 화학제품 도매업</t>
        </is>
      </c>
      <c r="E849" s="68" t="inlineStr">
        <is>
          <t>기타 화학 물질 및 화학제품 도매업</t>
        </is>
      </c>
      <c r="F849" s="68" t="inlineStr">
        <is>
          <t>◦유황
◦산소
 ·흡입용산소, 공업용산소</t>
        </is>
      </c>
      <c r="G849" s="90" t="n">
        <v>91.09999999999999</v>
      </c>
      <c r="H849" s="90" t="n">
        <v>0</v>
      </c>
      <c r="I849" s="90" t="n">
        <v>4.8</v>
      </c>
    </row>
    <row r="850" ht="17.25" customHeight="1" s="66">
      <c r="A850" s="65" t="inlineStr">
        <is>
          <t>514912</t>
        </is>
      </c>
      <c r="B850" s="68" t="inlineStr">
        <is>
          <t>도매 및 소매업</t>
        </is>
      </c>
      <c r="C850" s="68" t="inlineStr">
        <is>
          <t>도매 및 상품 중개업</t>
        </is>
      </c>
      <c r="D850" s="68" t="inlineStr">
        <is>
          <t>화학 물질 및 화학제품 도매업</t>
        </is>
      </c>
      <c r="E850" s="68" t="inlineStr">
        <is>
          <t>기타 화학 물질 및 화학제품 도매업</t>
        </is>
      </c>
      <c r="F850" s="68" t="inlineStr">
        <is>
          <t>◦탄산나트륨(소다회)</t>
        </is>
      </c>
      <c r="G850" s="90" t="n">
        <v>93.2</v>
      </c>
      <c r="H850" s="90" t="n">
        <v>0</v>
      </c>
      <c r="I850" s="90" t="n">
        <v>3.6</v>
      </c>
    </row>
    <row r="851" ht="17.25" customHeight="1" s="66">
      <c r="A851" s="65" t="inlineStr">
        <is>
          <t>514916</t>
        </is>
      </c>
      <c r="B851" s="68" t="inlineStr">
        <is>
          <t>도매 및 소매업</t>
        </is>
      </c>
      <c r="C851" s="68" t="inlineStr">
        <is>
          <t>도매 및 상품 중개업</t>
        </is>
      </c>
      <c r="D851" s="68" t="inlineStr">
        <is>
          <t>화학 물질 및 화학제품 도매업</t>
        </is>
      </c>
      <c r="E851" s="68" t="inlineStr">
        <is>
          <t>플라스틱 물질 및 합성고무 도매업</t>
        </is>
      </c>
      <c r="F851" s="68" t="inlineStr">
        <is>
          <t>◦생고무</t>
        </is>
      </c>
      <c r="G851" s="90" t="n">
        <v>93.2</v>
      </c>
      <c r="H851" s="90" t="n">
        <v>0</v>
      </c>
      <c r="I851" s="90" t="n">
        <v>4.6</v>
      </c>
    </row>
    <row r="852" ht="17.25" customHeight="1" s="66">
      <c r="A852" s="65" t="inlineStr">
        <is>
          <t>514919</t>
        </is>
      </c>
      <c r="B852" s="68" t="inlineStr">
        <is>
          <t>도매 및 소매업</t>
        </is>
      </c>
      <c r="C852" s="68" t="inlineStr">
        <is>
          <t>도매 및 상품 중개업</t>
        </is>
      </c>
      <c r="D852" s="68" t="inlineStr">
        <is>
          <t>화학 물질 및 화학제품 도매업</t>
        </is>
      </c>
      <c r="E852" s="68" t="inlineStr">
        <is>
          <t>기타 화학 물질 및 화학제품 도매업</t>
        </is>
      </c>
      <c r="F852" s="68" t="inlineStr">
        <is>
          <t>◦산업용 기초 유기 화합물, 기초 무기 화합물 및 산업용 화학제품을 도매하는 산업활동을 말한다.
&lt;예 시&gt;
·기초 유기 화합물 도매
·기초 무기 화합물 도매
·산업용 기초 화학제품 도매
·공업용 화합물 도매
·원료 상태 의약 제제 도매
·산업용 가스(연료용 제외) 도매
·나프탈렌 도매
·드라이아이스 도매
·벤졸 도매
·폐수 처리 약품 도매
·경질 탄산칼륨 도매
·도금 약품 도매
·에틸렌, 프로필렌, 부틸렌 도매
·공업용 소금 도매
&lt;제 외&gt;
·연료용 가스 도매(514130)
*유황, 산소(→514911)
*탄산나트륨(→514912)</t>
        </is>
      </c>
      <c r="G852" s="90" t="n">
        <v>92.2</v>
      </c>
      <c r="H852" s="90" t="n">
        <v>0</v>
      </c>
      <c r="I852" s="90" t="n">
        <v>4.8</v>
      </c>
    </row>
    <row r="853" ht="17.25" customHeight="1" s="66">
      <c r="A853" s="65" t="inlineStr">
        <is>
          <t>514920</t>
        </is>
      </c>
      <c r="B853" s="68" t="inlineStr">
        <is>
          <t>도매 및 소매업</t>
        </is>
      </c>
      <c r="C853" s="68" t="inlineStr">
        <is>
          <t>도매 및 상품 중개업</t>
        </is>
      </c>
      <c r="D853" s="68" t="inlineStr">
        <is>
          <t>화학 물질 및 화학제품 도매업</t>
        </is>
      </c>
      <c r="E853" s="68" t="inlineStr">
        <is>
          <t>염료, 안료 및 관련제품 도매업</t>
        </is>
      </c>
      <c r="F853" s="68" t="inlineStr">
        <is>
          <t>◦각종 염료, 안료 및 관련제품을 도매하는 산업활동을 말한다.
&lt;예 시&gt;
·안료 도매
·염료 도매
·착색제 도매
·유연제 도매</t>
        </is>
      </c>
      <c r="G853" s="90" t="n">
        <v>92.2</v>
      </c>
      <c r="H853" s="90" t="n">
        <v>0</v>
      </c>
      <c r="I853" s="90" t="n">
        <v>3.8</v>
      </c>
    </row>
    <row r="854" ht="17.25" customHeight="1" s="66">
      <c r="A854" s="65" t="inlineStr">
        <is>
          <t>514930</t>
        </is>
      </c>
      <c r="B854" s="68" t="inlineStr">
        <is>
          <t>도매 및 소매업</t>
        </is>
      </c>
      <c r="C854" s="68" t="inlineStr">
        <is>
          <t>도매 및 상품 중개업</t>
        </is>
      </c>
      <c r="D854" s="68" t="inlineStr">
        <is>
          <t>화학 물질 및 화학제품 도매업</t>
        </is>
      </c>
      <c r="E854" s="68" t="inlineStr">
        <is>
          <t>비료 및 농약 도매업</t>
        </is>
      </c>
      <c r="F854" s="68" t="inlineStr">
        <is>
          <t>◦혼합◦화학용 비료를 도매하는 산업활동을 말한다.
&lt;예 시&gt;
·질소비료 도매
·복합비료 도매
·석회 유기질 비료 도매
·배양토 도매
&lt;제 외&gt;
*농업용 약품 도매(→514940)</t>
        </is>
      </c>
      <c r="G854" s="90" t="n">
        <v>96.59999999999999</v>
      </c>
      <c r="H854" s="90" t="n">
        <v>0</v>
      </c>
      <c r="I854" s="90" t="n">
        <v>7.2</v>
      </c>
    </row>
    <row r="855" ht="17.25" customHeight="1" s="66">
      <c r="A855" s="65" t="inlineStr">
        <is>
          <t>514940</t>
        </is>
      </c>
      <c r="B855" s="68" t="inlineStr">
        <is>
          <t>도매 및 소매업</t>
        </is>
      </c>
      <c r="C855" s="68" t="inlineStr">
        <is>
          <t>도매 및 상품 중개업</t>
        </is>
      </c>
      <c r="D855" s="68" t="inlineStr">
        <is>
          <t>화학 물질 및 화학제품 도매업</t>
        </is>
      </c>
      <c r="E855" s="68" t="inlineStr">
        <is>
          <t>비료 및 농약 도매업</t>
        </is>
      </c>
      <c r="F855" s="68" t="inlineStr">
        <is>
          <t>◦농업용 약품을 도매하는 산업활동을 말한다.
&lt;예 시&gt;
·살서제 도매
·성장 조절제 도매
&lt;제 외&gt;
·가정용 또는 위생용 살균·살충 및 소독제 도매(513313)
*혼합◦화학용 비료 도매(→514930)</t>
        </is>
      </c>
      <c r="G855" s="90" t="n">
        <v>95.59999999999999</v>
      </c>
      <c r="H855" s="90" t="n">
        <v>0</v>
      </c>
      <c r="I855" s="90" t="n">
        <v>3.6</v>
      </c>
    </row>
    <row r="856" ht="17.25" customHeight="1" s="66">
      <c r="A856" s="65" t="inlineStr">
        <is>
          <t>514950</t>
        </is>
      </c>
      <c r="B856" s="68" t="inlineStr">
        <is>
          <t>도매 및 소매업</t>
        </is>
      </c>
      <c r="C856" s="68" t="inlineStr">
        <is>
          <t>도매 및 상품 중개업</t>
        </is>
      </c>
      <c r="D856" s="68" t="inlineStr">
        <is>
          <t>화학 물질 및 화학제품 도매업</t>
        </is>
      </c>
      <c r="E856" s="68" t="inlineStr">
        <is>
          <t>플라스틱 물질 및 합성고무 도매업</t>
        </is>
      </c>
      <c r="F856" s="68" t="inlineStr">
        <is>
          <t>◦1차 형태의 합성 수지, 재생 섬유소, 합성고무 및 플라스틱 물질을 도매하는 산업활동을 말한다.
&lt;예 시&gt;
·합성 수지(레진) 도매
·페놀 수지 원료 도매
·폴리스틸렌 및 우레탄 수지 도매
·에폭시 수지 도매
·페놀 및 실리콘 수지 도매
·합성고무(BR, CR, IR 등) 도매
&lt;제 외&gt;
*생고무(→514916)</t>
        </is>
      </c>
      <c r="G856" s="90" t="n">
        <v>92.40000000000001</v>
      </c>
      <c r="H856" s="90" t="n">
        <v>0</v>
      </c>
      <c r="I856" s="90" t="n">
        <v>4.8</v>
      </c>
    </row>
    <row r="857" ht="17.25" customHeight="1" s="66">
      <c r="A857" s="65" t="inlineStr">
        <is>
          <t>514961</t>
        </is>
      </c>
      <c r="B857" s="68" t="inlineStr">
        <is>
          <t>도매 및 소매업</t>
        </is>
      </c>
      <c r="C857" s="68" t="inlineStr">
        <is>
          <t>도매 및 상품 중개업</t>
        </is>
      </c>
      <c r="D857" s="68" t="inlineStr">
        <is>
          <t>방직용 섬유, 실 및 직물 도매업</t>
        </is>
      </c>
      <c r="E857" s="68" t="inlineStr">
        <is>
          <t>방직용 섬유 및 실 도매업</t>
        </is>
      </c>
      <c r="F857" s="68" t="inlineStr">
        <is>
          <t>◦천연, 합성 및 재생 섬유의 필라멘트사 또는 스트립, 토우 등의 방직용 섬유와 섬유사를 도매하는 산업활동을 말한다.
&lt;예 시&gt;
·방직용 섬유 도매
·방적사 도매
·화섬사 도매
·나일론 도매
&lt;제 외&gt;
·소매용 섬유 및 사 도매(513111)</t>
        </is>
      </c>
      <c r="G857" s="90" t="n">
        <v>95.3</v>
      </c>
      <c r="H857" s="90" t="n">
        <v>0</v>
      </c>
      <c r="I857" s="90" t="n">
        <v>2.8</v>
      </c>
    </row>
    <row r="858" ht="17.25" customHeight="1" s="66">
      <c r="A858" s="65" t="inlineStr">
        <is>
          <t>514969</t>
        </is>
      </c>
      <c r="B858" s="68" t="inlineStr">
        <is>
          <t>도매 및 소매업</t>
        </is>
      </c>
      <c r="C858" s="68" t="inlineStr">
        <is>
          <t>도매 및 상품 중개업</t>
        </is>
      </c>
      <c r="D858" s="68" t="inlineStr">
        <is>
          <t>방직용 섬유, 실 및 직물 도매업</t>
        </is>
      </c>
      <c r="E858" s="68" t="inlineStr">
        <is>
          <t>직물 도매업</t>
        </is>
      </c>
      <c r="F858" s="68" t="inlineStr">
        <is>
          <t>◦천연, 합성 및 재생 섬유의 직물을 도매하는 산업활동을 말한다.
&lt;예 시&gt;
·산업용 합성 섬유직물 도매
·산업용 견직물 도매
&lt;제 외&gt;
·소매용 포장 직물 도매(513111)</t>
        </is>
      </c>
      <c r="G858" s="90" t="n">
        <v>94.8</v>
      </c>
      <c r="H858" s="90" t="n">
        <v>0</v>
      </c>
      <c r="I858" s="90" t="n">
        <v>3.4</v>
      </c>
    </row>
    <row r="859" ht="17.25" customHeight="1" s="66">
      <c r="A859" s="65" t="inlineStr">
        <is>
          <t>514971</t>
        </is>
      </c>
      <c r="B859" s="68" t="inlineStr">
        <is>
          <t>도매 및 소매업</t>
        </is>
      </c>
      <c r="C859" s="68" t="inlineStr">
        <is>
          <t>도매 및 상품 중개업</t>
        </is>
      </c>
      <c r="D859" s="68" t="inlineStr">
        <is>
          <t>재생용 재료 및 기타 상품 전문 도매업</t>
        </is>
      </c>
      <c r="E859" s="68" t="inlineStr">
        <is>
          <t>재생용 재료 수집 및 판매업</t>
        </is>
      </c>
      <c r="F859" s="68" t="inlineStr">
        <is>
          <t>◦재생할 수 있는 각종 고물 및 스크랩(쇠부스러기 등)을 수집◦판매하는 산업활동을 말한다.
&lt;예 시&gt;
·재생용 금속 수집 및 판매
·재생용 비금속 수집 및 판매
·재생용 플라스틱 수집 및 판매
·고섬유 재생재료 수집 및 판매
·재생용 고무 수집 및 판매
·고지 수집 및 판매
&lt;제 외&gt;
·연속 라인에 의한 재생원료 선별 활동(재생원료 선별에 해당되는 산업활동으로 분류)
*공병보증금제 공병취급 수수료(→749940)</t>
        </is>
      </c>
      <c r="G859" s="90" t="n">
        <v>95.59999999999999</v>
      </c>
      <c r="H859" s="90" t="n">
        <v>0</v>
      </c>
      <c r="I859" s="90" t="n">
        <v>5</v>
      </c>
    </row>
    <row r="860" ht="17.25" customHeight="1" s="66">
      <c r="A860" s="65" t="inlineStr">
        <is>
          <t>514990</t>
        </is>
      </c>
      <c r="B860" s="68" t="inlineStr">
        <is>
          <t>도매 및 소매업</t>
        </is>
      </c>
      <c r="C860" s="68" t="inlineStr">
        <is>
          <t>도매 및 상품 중개업</t>
        </is>
      </c>
      <c r="D860" s="68" t="inlineStr">
        <is>
          <t>재생용 재료 및 기타 상품 전문 도매업</t>
        </is>
      </c>
      <c r="E860" s="68" t="inlineStr">
        <is>
          <t>그 외 기타 상품 전문 도매업</t>
        </is>
      </c>
      <c r="F860" s="68" t="inlineStr">
        <is>
          <t>◦달리 분류되지 않은 기타 산업용 중간재 및 재생재료</t>
        </is>
      </c>
      <c r="G860" s="90" t="n">
        <v>92</v>
      </c>
      <c r="H860" s="90" t="n">
        <v>0</v>
      </c>
      <c r="I860" s="90" t="n">
        <v>4.6</v>
      </c>
    </row>
    <row r="861" ht="17.25" customHeight="1" s="66">
      <c r="A861" s="65" t="inlineStr">
        <is>
          <t>515010</t>
        </is>
      </c>
      <c r="B861" s="68" t="inlineStr">
        <is>
          <t>도매 및 소매업</t>
        </is>
      </c>
      <c r="C861" s="68" t="inlineStr">
        <is>
          <t>도매 및 상품 중개업</t>
        </is>
      </c>
      <c r="D861" s="68" t="inlineStr">
        <is>
          <t>기타 기계 및 장비 도매업</t>
        </is>
      </c>
      <c r="E861" s="68" t="inlineStr">
        <is>
          <t>그 외 기타 기계 및 장비 도매업</t>
        </is>
      </c>
      <c r="F861" s="68" t="inlineStr">
        <is>
          <t>◦그 외 기타 일반 목적용으로 사용되는 기계 및 장비를 도매하는 산업활동을 말한다.
&lt;예 시&gt;
·밸브 도매
·펌프 및 공기 압축기 도매
·송풍기 및 환풍기 도매
·구름(볼 및 롤러)베어링 도매
·기계류 동력 전달장치 도매
·소화장비 도매 
·물품 취급장비 도매
·엔진(기관) 및 터빈 도매(항공기, 자동차, 이륜 자동차용 제외)
·에스컬레이터
&lt;제 외&gt;
·자동차 엔진 도매(503006)
·항공기 엔진 도매(515094)
·이륜자동차(오토바이) 엔진 도매(504001)
*자동판매기(→513231)
*기중기, 호이스트 도매(→515031)</t>
        </is>
      </c>
      <c r="G861" s="90" t="n">
        <v>91.5</v>
      </c>
      <c r="H861" s="90" t="n">
        <v>0</v>
      </c>
      <c r="I861" s="90" t="n">
        <v>5</v>
      </c>
    </row>
    <row r="862" ht="17.25" customHeight="1" s="66">
      <c r="A862" s="65" t="inlineStr">
        <is>
          <t>515020</t>
        </is>
      </c>
      <c r="B862" s="68" t="inlineStr">
        <is>
          <t>도매 및 소매업</t>
        </is>
      </c>
      <c r="C862" s="68" t="inlineStr">
        <is>
          <t>도매 및 상품 중개업</t>
        </is>
      </c>
      <c r="D862" s="68" t="inlineStr">
        <is>
          <t>산업용 기계 및 장비 도매업</t>
        </is>
      </c>
      <c r="E862" s="68" t="inlineStr">
        <is>
          <t>농림업용 기계 및 장비 도매업</t>
        </is>
      </c>
      <c r="F862" s="68" t="inlineStr">
        <is>
          <t>◦농업용 경작기, 파종기, 수확기, 잔디 깎는 기계, 축산용 기계장비, 정원용 기계, 임업용 기계장비를 도매하는 산업활동을 말한다.
&lt;예 시&gt;
·농업용 기계 도매
·축산용 기계·장비 도매
·정원용 기계 도매
·임업용 기계·장비 도매
·잔디 깎기 도매</t>
        </is>
      </c>
      <c r="G862" s="90" t="n">
        <v>94.59999999999999</v>
      </c>
      <c r="H862" s="90" t="n">
        <v>0</v>
      </c>
      <c r="I862" s="90" t="n">
        <v>3.9</v>
      </c>
    </row>
    <row r="863" ht="17.25" customHeight="1" s="66">
      <c r="A863" s="65" t="inlineStr">
        <is>
          <t>515030</t>
        </is>
      </c>
      <c r="B863" s="68" t="inlineStr">
        <is>
          <t>도매 및 소매업</t>
        </is>
      </c>
      <c r="C863" s="68" t="inlineStr">
        <is>
          <t>도매 및 상품 중개업</t>
        </is>
      </c>
      <c r="D863" s="68" t="inlineStr">
        <is>
          <t>산업용 기계 및 장비 도매업</t>
        </is>
      </c>
      <c r="E863" s="68" t="inlineStr">
        <is>
          <t>건설ㆍ광업용 기계 및 장비 도매업</t>
        </is>
      </c>
      <c r="F863" s="68" t="inlineStr">
        <is>
          <t>◦각종 건설 또는 광업용 기계 및 장비를 도매하는 산업활동을 말한다.
&lt;예 시&gt;
·셔블(shovel) 도매
·굴정기 및 굴착기 도매
·도로 포장기 도매
·그레이더 및 스크레이퍼 도매
·착암기 도매
·광물 선별기 및 파쇄기 도매</t>
        </is>
      </c>
      <c r="G863" s="90" t="n">
        <v>92</v>
      </c>
      <c r="H863" s="90" t="n">
        <v>0</v>
      </c>
      <c r="I863" s="90" t="n">
        <v>6.8</v>
      </c>
    </row>
    <row r="864" ht="17.25" customHeight="1" s="66">
      <c r="A864" s="65" t="inlineStr">
        <is>
          <t>515031</t>
        </is>
      </c>
      <c r="B864" s="68" t="inlineStr">
        <is>
          <t>도매 및 소매업</t>
        </is>
      </c>
      <c r="C864" s="68" t="inlineStr">
        <is>
          <t>도매 및 상품 중개업</t>
        </is>
      </c>
      <c r="D864" s="68" t="inlineStr">
        <is>
          <t>기타 기계 및 장비 도매업</t>
        </is>
      </c>
      <c r="E864" s="68" t="inlineStr">
        <is>
          <t>그 외 기타 기계 및 장비 도매업</t>
        </is>
      </c>
      <c r="F864" s="68" t="inlineStr">
        <is>
          <t>◦기중기, 호이스트</t>
        </is>
      </c>
      <c r="G864" s="90" t="n">
        <v>92</v>
      </c>
      <c r="H864" s="90" t="n">
        <v>0</v>
      </c>
      <c r="I864" s="90" t="n">
        <v>6.6</v>
      </c>
    </row>
    <row r="865" ht="17.25" customHeight="1" s="66">
      <c r="A865" s="65" t="inlineStr">
        <is>
          <t>515040</t>
        </is>
      </c>
      <c r="B865" s="68" t="inlineStr">
        <is>
          <t>도매 및 소매업</t>
        </is>
      </c>
      <c r="C865" s="68" t="inlineStr">
        <is>
          <t>도매 및 상품 중개업</t>
        </is>
      </c>
      <c r="D865" s="68" t="inlineStr">
        <is>
          <t>산업용 기계 및 장비 도매업</t>
        </is>
      </c>
      <c r="E865" s="68" t="inlineStr">
        <is>
          <t>공작용 기계 및 장비 도매업</t>
        </is>
      </c>
      <c r="F865" s="68" t="inlineStr">
        <is>
          <t>◦금속 주조, 압연, 절삭 및 성형기계와 목재, 석재, 경질 고무, 플라스틱 등의 경질 물질을 냉간 가공하는 각종 가공 공작기계 및 전동 공구 등 관련 장비를 도매하는 산업활동을 말한다.
&lt;예 시&gt;
·선반 및 밀링기 도매
·석재 가공기계 도매
·형삭 및 드릴링기 도매
·냉간 유리 가공기계 도매
·목공 기계 및 장비 도매
·프레스기 도매(금속용)
·경질 물질 가공 공작기계 도매
·전동 공구, 기계 공구 도매</t>
        </is>
      </c>
      <c r="G865" s="90" t="n">
        <v>91.59999999999999</v>
      </c>
      <c r="H865" s="90" t="n">
        <v>0</v>
      </c>
      <c r="I865" s="90" t="n">
        <v>6.8</v>
      </c>
    </row>
    <row r="866" ht="17.25" customHeight="1" s="66">
      <c r="A866" s="65" t="inlineStr">
        <is>
          <t>515050</t>
        </is>
      </c>
      <c r="B866" s="68" t="inlineStr">
        <is>
          <t>도매 및 소매업</t>
        </is>
      </c>
      <c r="C866" s="68" t="inlineStr">
        <is>
          <t>도매 및 상품 중개업</t>
        </is>
      </c>
      <c r="D866" s="68" t="inlineStr">
        <is>
          <t>컴퓨터 및 주변장치, 소프트웨어 도매업</t>
        </is>
      </c>
      <c r="E866" s="68" t="inlineStr">
        <is>
          <t>컴퓨터 및 주변장치, 소프트웨어 도매업</t>
        </is>
      </c>
      <c r="F866" s="68" t="inlineStr">
        <is>
          <t>◦각종 컴퓨터 및 주변장치, 각종 소프트웨어를 도매하는 산업활동을 말한다.
&lt;예 시&gt;
·데스크톱 PC 도매
·노트북 PC 도매
·범용성 소프트웨어 도매
·컴퓨터 프린트기 도매
·게임용 소프트웨어 도매
·마우스, 키보드, 스캐너 도매</t>
        </is>
      </c>
      <c r="G866" s="90" t="n">
        <v>91.8</v>
      </c>
      <c r="H866" s="90" t="n">
        <v>0</v>
      </c>
      <c r="I866" s="90" t="n">
        <v>8.1</v>
      </c>
    </row>
    <row r="867" ht="17.25" customHeight="1" s="66">
      <c r="A867" s="65" t="inlineStr">
        <is>
          <t>515051</t>
        </is>
      </c>
      <c r="B867" s="68" t="inlineStr">
        <is>
          <t>도매 및 소매업</t>
        </is>
      </c>
      <c r="C867" s="68" t="inlineStr">
        <is>
          <t>도매 및 상품 중개업</t>
        </is>
      </c>
      <c r="D867" s="68" t="inlineStr">
        <is>
          <t>기타 기계 및 장비 도매업</t>
        </is>
      </c>
      <c r="E867" s="68" t="inlineStr">
        <is>
          <t>사무용 가구 및 기기 도매업</t>
        </is>
      </c>
      <c r="F867" s="68" t="inlineStr">
        <is>
          <t>◦컴퓨터 이외의 사무용 기기를 도매하는 산업활동을 말한다.
&lt;예 시&gt;
·사무용 가구 도매
·금전 등록기 도매
·복사기 도매
·전자 계산기 도매</t>
        </is>
      </c>
      <c r="G867" s="90" t="n">
        <v>91.40000000000001</v>
      </c>
      <c r="H867" s="90" t="n">
        <v>0</v>
      </c>
      <c r="I867" s="90" t="n">
        <v>9.5</v>
      </c>
    </row>
    <row r="868" ht="17.25" customHeight="1" s="66">
      <c r="A868" s="65" t="inlineStr">
        <is>
          <t>515060</t>
        </is>
      </c>
      <c r="B868" s="68" t="inlineStr">
        <is>
          <t>도매 및 소매업</t>
        </is>
      </c>
      <c r="C868" s="68" t="inlineStr">
        <is>
          <t>도매 및 상품 중개업</t>
        </is>
      </c>
      <c r="D868" s="68" t="inlineStr">
        <is>
          <t>가전제품, 통신장비 및 부품 도매업</t>
        </is>
      </c>
      <c r="E868" s="68" t="inlineStr">
        <is>
          <t>통신ㆍ방송장비 및 부품 도매업</t>
        </is>
      </c>
      <c r="F868" s="68" t="inlineStr">
        <is>
          <t>◦유◦무선 통신장비 및 방송장비 등을 도매하는 산업활동을 말한다.
&lt;예 시&gt;
·유선 전화기 및 휴대폰 도매
·텔레비전 방송장치 도매
·통신 교환기 도매
·폐쇄회로 카메라 도매
·위성 안테나 등 송·수신 안테나 도매
·전송장치 도매
·팩시밀리 도매
&lt;제 외&gt;
·가정용 캠코더 도매(513221)</t>
        </is>
      </c>
      <c r="G868" s="90" t="n">
        <v>90</v>
      </c>
      <c r="H868" s="90" t="n">
        <v>0</v>
      </c>
      <c r="I868" s="90" t="n">
        <v>14.7</v>
      </c>
    </row>
    <row r="869" ht="17.25" customHeight="1" s="66">
      <c r="A869" s="65" t="inlineStr">
        <is>
          <t>515070</t>
        </is>
      </c>
      <c r="B869" s="68" t="inlineStr">
        <is>
          <t>도매 및 소매업</t>
        </is>
      </c>
      <c r="C869" s="68" t="inlineStr">
        <is>
          <t>도매 및 상품 중개업</t>
        </is>
      </c>
      <c r="D869" s="68" t="inlineStr">
        <is>
          <t>기타 기계 및 장비 도매업</t>
        </is>
      </c>
      <c r="E869" s="68" t="inlineStr">
        <is>
          <t>전기용 기계ㆍ장비 및 관련 기자재 도매업</t>
        </is>
      </c>
      <c r="F869" s="68" t="inlineStr">
        <is>
          <t>◦전기용 기계◦장비 및 관련 기자재를 도매하는 산업활동을 말한다. 반도체, 트랜지스터 등의 전자부품을 도매하는 경우도 포함한다.
&lt;예 시&gt;
·전기 제어반 및 배전반 도매
·발전기, 변압기, 정류기 도매
·전동기 도매
·저항기 도매
·개폐장치 도매
·전자 부품 및 전자관 도매
·피뢰장치 도매
·형광등용 초크코일(안정기) 도매
&lt;제 외&gt;
·전구 도매(513241)
·각종 전지 및 케이블 도매(515074)</t>
        </is>
      </c>
      <c r="G869" s="90" t="n">
        <v>92.3</v>
      </c>
      <c r="H869" s="90" t="n">
        <v>0</v>
      </c>
      <c r="I869" s="90" t="n">
        <v>5.9</v>
      </c>
    </row>
    <row r="870" ht="17.25" customHeight="1" s="66">
      <c r="A870" s="65" t="inlineStr">
        <is>
          <t>515074</t>
        </is>
      </c>
      <c r="B870" s="68" t="inlineStr">
        <is>
          <t>도매 및 소매업</t>
        </is>
      </c>
      <c r="C870" s="68" t="inlineStr">
        <is>
          <t>도매 및 상품 중개업</t>
        </is>
      </c>
      <c r="D870" s="68" t="inlineStr">
        <is>
          <t>기타 기계 및 장비 도매업</t>
        </is>
      </c>
      <c r="E870" s="68" t="inlineStr">
        <is>
          <t>전지 및 케이블 도매업</t>
        </is>
      </c>
      <c r="F870" s="68" t="inlineStr">
        <is>
          <t>◦일차전지, 축전지 및 절연선, 케이블과 절연 코드 세트 및 기타 관련 기자재를 도매하는 산업활동을 말한다.
&lt;예 시&gt;
·전화용 선 및 케이블 도매
&lt;제 외&gt;
·전구 도매(513241)</t>
        </is>
      </c>
      <c r="G870" s="90" t="n">
        <v>92.3</v>
      </c>
      <c r="H870" s="90" t="n">
        <v>0</v>
      </c>
      <c r="I870" s="90" t="n">
        <v>6.4</v>
      </c>
    </row>
    <row r="871" ht="17.25" customHeight="1" s="66">
      <c r="A871" s="65" t="inlineStr">
        <is>
          <t>515080</t>
        </is>
      </c>
      <c r="B871" s="68" t="inlineStr">
        <is>
          <t>도매 및 소매업</t>
        </is>
      </c>
      <c r="C871" s="68" t="inlineStr">
        <is>
          <t>도매 및 상품 중개업</t>
        </is>
      </c>
      <c r="D871" s="68" t="inlineStr">
        <is>
          <t>기타 기계 및 장비 도매업</t>
        </is>
      </c>
      <c r="E871" s="68" t="inlineStr">
        <is>
          <t>의료 기기 도매업</t>
        </is>
      </c>
      <c r="F871" s="68" t="inlineStr">
        <is>
          <t>◦내과, 외과 및 수의 기기 등 각종 의료 기기를 도매하는 산업활동을 말한다.
&lt;예 시&gt;
·의료용 가구 도매
·내과, 외과 및 수의 기기 도매
·의료용 X선 기구 도매
&lt;제 외&gt;
·의료용품 및 신체보정용 정형외과용품 도매(513313)
·안경(513913), 쌍안경, 사진기 및 기타 생활용 광학용품 도매(513911)</t>
        </is>
      </c>
      <c r="G871" s="90" t="n">
        <v>91.59999999999999</v>
      </c>
      <c r="H871" s="90" t="n">
        <v>0</v>
      </c>
      <c r="I871" s="90" t="n">
        <v>6.6</v>
      </c>
    </row>
    <row r="872" ht="17.25" customHeight="1" s="66">
      <c r="A872" s="65" t="inlineStr">
        <is>
          <t>515081</t>
        </is>
      </c>
      <c r="B872" s="68" t="inlineStr">
        <is>
          <t>도매 및 소매업</t>
        </is>
      </c>
      <c r="C872" s="68" t="inlineStr">
        <is>
          <t>도매 및 상품 중개업</t>
        </is>
      </c>
      <c r="D872" s="68" t="inlineStr">
        <is>
          <t>기타 기계 및 장비 도매업</t>
        </is>
      </c>
      <c r="E872" s="68" t="inlineStr">
        <is>
          <t>정밀 기기 및 과학 기기 도매업</t>
        </is>
      </c>
      <c r="F872" s="68" t="inlineStr">
        <is>
          <t>◦각종 정밀 기기 및 과학 기기를 도매하는 산업활동을 말한다.
&lt;예 시&gt;
·제도 및 측량 기구 도매
·측정 및 계량기 도매
·물리 시험 기구 도매
·과학 기구 및 장비 도매
·이화학용 기구 도매
·산업공정 측정 및 통제 기구 도매
·미촬영 영화용 필름 도매
·영화촬영기 도매
·영사기 도매
&lt;제 외&gt;
·의료용품 및 신체보정용 정형외과용품 도매(513313)
·안경(513913), 쌍안경, 사진기 및 기타 생활용 광학용품 도매(513911)</t>
        </is>
      </c>
      <c r="G872" s="90" t="n">
        <v>91.59999999999999</v>
      </c>
      <c r="H872" s="90" t="n">
        <v>0</v>
      </c>
      <c r="I872" s="90" t="n">
        <v>5.2</v>
      </c>
    </row>
    <row r="873" ht="17.25" customHeight="1" s="66">
      <c r="A873" s="65" t="inlineStr">
        <is>
          <t>515090</t>
        </is>
      </c>
      <c r="B873" s="68" t="inlineStr">
        <is>
          <t>도매 및 소매업</t>
        </is>
      </c>
      <c r="C873" s="68" t="inlineStr">
        <is>
          <t>도매 및 상품 중개업</t>
        </is>
      </c>
      <c r="D873" s="68" t="inlineStr">
        <is>
          <t>산업용 기계 및 장비 도매업</t>
        </is>
      </c>
      <c r="E873" s="68" t="inlineStr">
        <is>
          <t>기타 산업용 기계 및 장비 도매업</t>
        </is>
      </c>
      <c r="F873" s="68" t="inlineStr">
        <is>
          <t>◦식품◦섬유◦화학산업용 기계 및 장비, 비금속 광물제품 성형기계 및 장비, 각종 상업 및 서비스 산업용 기계 및 장비를 도매하는 산업활동을 포함한다.
&lt;예 시&gt;
·제지산업용 기계·장비 도매
·인쇄 및 제본용 기계·장비 도매
·유리 성형용 기계·장비 도매
·플라스틱 성형용 기계·장비 도매
·용접기 도매</t>
        </is>
      </c>
      <c r="G873" s="90" t="n">
        <v>91.7</v>
      </c>
      <c r="H873" s="90" t="n">
        <v>0</v>
      </c>
      <c r="I873" s="90" t="n">
        <v>5.3</v>
      </c>
    </row>
    <row r="874" ht="17.25" customHeight="1" s="66">
      <c r="A874" s="65" t="inlineStr">
        <is>
          <t>515093</t>
        </is>
      </c>
      <c r="B874" s="68" t="inlineStr">
        <is>
          <t>도매 및 소매업</t>
        </is>
      </c>
      <c r="C874" s="68" t="inlineStr">
        <is>
          <t>도매 및 상품 중개업</t>
        </is>
      </c>
      <c r="D874" s="68" t="inlineStr">
        <is>
          <t>음반 및 비디오물, 악기, 오락 및 경기용품 도매업</t>
        </is>
      </c>
      <c r="E874" s="68" t="inlineStr">
        <is>
          <t>자전거 및 기타 운송장비 도매업</t>
        </is>
      </c>
      <c r="F874" s="68" t="inlineStr">
        <is>
          <t>◦리어카, 휠체어</t>
        </is>
      </c>
      <c r="G874" s="90" t="n">
        <v>91.7</v>
      </c>
      <c r="H874" s="90" t="n">
        <v>0</v>
      </c>
      <c r="I874" s="90" t="n">
        <v>8</v>
      </c>
    </row>
    <row r="875" ht="17.25" customHeight="1" s="66">
      <c r="A875" s="65" t="inlineStr">
        <is>
          <t>515094</t>
        </is>
      </c>
      <c r="B875" s="68" t="inlineStr">
        <is>
          <t>도매 및 소매업</t>
        </is>
      </c>
      <c r="C875" s="68" t="inlineStr">
        <is>
          <t>도매 및 상품 중개업</t>
        </is>
      </c>
      <c r="D875" s="68" t="inlineStr">
        <is>
          <t>기타 기계 및 장비 도매업</t>
        </is>
      </c>
      <c r="E875" s="68" t="inlineStr">
        <is>
          <t>수송용 운송장비 도매업</t>
        </is>
      </c>
      <c r="F875" s="68" t="inlineStr">
        <is>
          <t>◦자동차, 자전거를 제외한 각종 운송용 장비를 도매하는 산업활동을 말한다.
&lt;예 시&gt;
·기차 및 지하철 도매
·항공기 도매
·선박 도매
&lt;제 외&gt;
·자동차 판매(자동차 판매업의 해당 산업활동으로 분류)</t>
        </is>
      </c>
      <c r="G875" s="90" t="n">
        <v>91.7</v>
      </c>
      <c r="H875" s="90" t="n">
        <v>0</v>
      </c>
      <c r="I875" s="90" t="n">
        <v>8</v>
      </c>
    </row>
    <row r="876" ht="17.25" customHeight="1" s="66">
      <c r="A876" s="65" t="inlineStr">
        <is>
          <t>519111</t>
        </is>
      </c>
      <c r="B876" s="68" t="inlineStr">
        <is>
          <t>도매 및 소매업</t>
        </is>
      </c>
      <c r="C876" s="68" t="inlineStr">
        <is>
          <t>도매 및 상품 중개업</t>
        </is>
      </c>
      <c r="D876" s="68" t="inlineStr">
        <is>
          <t>상품 종합 도매업</t>
        </is>
      </c>
      <c r="E876" s="68" t="inlineStr">
        <is>
          <t>상품 종합 도매업</t>
        </is>
      </c>
      <c r="F876" s="68" t="inlineStr">
        <is>
          <t>◦직수출
 ·종합상품을 구매하여 직접 수출
◦대행(위탁) 수출
 ·종합상품을 구매하여 수출업자를 통하여 대행(위탁) 수출</t>
        </is>
      </c>
      <c r="G876" s="90" t="n">
        <v>94</v>
      </c>
      <c r="H876" s="90" t="n">
        <v>0</v>
      </c>
      <c r="I876" s="90" t="n">
        <v>5.2</v>
      </c>
    </row>
    <row r="877" ht="17.25" customHeight="1" s="66">
      <c r="A877" s="65" t="inlineStr">
        <is>
          <t>519112</t>
        </is>
      </c>
      <c r="B877" s="68" t="inlineStr">
        <is>
          <t>도매 및 소매업</t>
        </is>
      </c>
      <c r="C877" s="68" t="inlineStr">
        <is>
          <t>도매 및 상품 중개업</t>
        </is>
      </c>
      <c r="D877" s="68" t="inlineStr">
        <is>
          <t>상품 종합 도매업</t>
        </is>
      </c>
      <c r="E877" s="68" t="inlineStr">
        <is>
          <t>상품 종합 도매업</t>
        </is>
      </c>
      <c r="F877" s="68" t="inlineStr">
        <is>
          <t>◦자기가 직접 또는 알선·중개·대리·위수탁 등의 방법으로 수입한 산업용재화(산업용중간재 및 재생재료와, 산업용기계장비 및 관련용품에 해당되는 종목을 말한다. 다만, 대리석·석재·타일·위생도기·합판유리 등 건축자재와 직물은 제외)를 도·소매하는 업</t>
        </is>
      </c>
      <c r="G877" s="90" t="n">
        <v>88.40000000000001</v>
      </c>
      <c r="H877" s="90" t="n">
        <v>0</v>
      </c>
      <c r="I877" s="90" t="n">
        <v>5.3</v>
      </c>
    </row>
    <row r="878" ht="17.25" customHeight="1" s="66">
      <c r="A878" s="65" t="inlineStr">
        <is>
          <t>519113</t>
        </is>
      </c>
      <c r="B878" s="68" t="inlineStr">
        <is>
          <t>도매 및 소매업</t>
        </is>
      </c>
      <c r="C878" s="68" t="inlineStr">
        <is>
          <t>도매 및 상품 중개업</t>
        </is>
      </c>
      <c r="D878" s="68" t="inlineStr">
        <is>
          <t>상품 종합 도매업</t>
        </is>
      </c>
      <c r="E878" s="68" t="inlineStr">
        <is>
          <t>상품 종합 도매업</t>
        </is>
      </c>
      <c r="F878" s="68" t="inlineStr">
        <is>
          <t>◦자기가 직접 또는 알선·중개·대리·위수탁의 방법으로 수입한 기타의 물품(519112 산업용재화 해당종목이외의 물품)을 도·소매하는 업</t>
        </is>
      </c>
      <c r="G878" s="90" t="n">
        <v>85.2</v>
      </c>
      <c r="H878" s="90" t="n">
        <v>0</v>
      </c>
      <c r="I878" s="90" t="n">
        <v>5.3</v>
      </c>
    </row>
    <row r="879" ht="17.25" customHeight="1" s="66">
      <c r="A879" s="65" t="inlineStr">
        <is>
          <t>519910</t>
        </is>
      </c>
      <c r="B879" s="68" t="inlineStr">
        <is>
          <t>도매 및 소매업</t>
        </is>
      </c>
      <c r="C879" s="68" t="inlineStr">
        <is>
          <t>도매 및 상품 중개업</t>
        </is>
      </c>
      <c r="D879" s="68" t="inlineStr">
        <is>
          <t>상품 종합 도매업</t>
        </is>
      </c>
      <c r="E879" s="68" t="inlineStr">
        <is>
          <t>상품 종합 도매업</t>
        </is>
      </c>
      <c r="F879" s="68" t="inlineStr">
        <is>
          <t>◦특정 상품을 전문적으로 도매하지 않고, 각종 상품을 자기계정으로 구매하여 종합적으로 도매하는 산업활동을 말한다.
&lt;예 시&gt;
·종합무역상사(자기 상품)
·연쇄화 사업 종합 상품 도매
·백화점, 편의점 등 체인 계약하여 상품도매
&lt;제 외&gt;
·수수료에 의한 종합 상품 무역 중개(511119)
·회원사 및 가맹점을 대신하여 각종상품을 구매 대리(511119)
*직수출, 대행(위탁)수출(→519111)
*수입한 산업용 재화 도소매(→519112)
*수입한 기타 물품 도소매(→519113)</t>
        </is>
      </c>
      <c r="G879" s="90" t="n">
        <v>93.59999999999999</v>
      </c>
      <c r="H879" s="90" t="n">
        <v>0</v>
      </c>
      <c r="I879" s="90" t="n">
        <v>5.9</v>
      </c>
    </row>
    <row r="880" ht="17.25" customHeight="1" s="66">
      <c r="A880" s="65" t="inlineStr">
        <is>
          <t>519991</t>
        </is>
      </c>
      <c r="B880" s="68" t="inlineStr">
        <is>
          <t>도매 및 소매업</t>
        </is>
      </c>
      <c r="C880" s="68" t="inlineStr">
        <is>
          <t>도매 및 상품 중개업</t>
        </is>
      </c>
      <c r="D880" s="68" t="inlineStr">
        <is>
          <t>음반 및 비디오물, 악기, 오락 및 경기용품 도매업</t>
        </is>
      </c>
      <c r="E880" s="68" t="inlineStr">
        <is>
          <t>장난감 및 취미, 오락용품 도매업</t>
        </is>
      </c>
      <c r="F880" s="68" t="inlineStr">
        <is>
          <t>◦휘, 트로피, 페난트, 뺏지, 메달 등</t>
        </is>
      </c>
      <c r="G880" s="90" t="n">
        <v>94.8</v>
      </c>
      <c r="H880" s="90" t="n">
        <v>0</v>
      </c>
      <c r="I880" s="90" t="n">
        <v>5.2</v>
      </c>
    </row>
    <row r="881" ht="17.25" customHeight="1" s="66">
      <c r="A881" s="65" t="inlineStr">
        <is>
          <t>519992</t>
        </is>
      </c>
      <c r="B881" s="68" t="inlineStr">
        <is>
          <t>도매 및 소매업</t>
        </is>
      </c>
      <c r="C881" s="68" t="inlineStr">
        <is>
          <t>도매 및 상품 중개업</t>
        </is>
      </c>
      <c r="D881" s="68" t="inlineStr">
        <is>
          <t>재생용 재료 및 기타 상품 전문 도매업</t>
        </is>
      </c>
      <c r="E881" s="68" t="inlineStr">
        <is>
          <t>그 외 기타 상품 전문 도매업</t>
        </is>
      </c>
      <c r="F881" s="68" t="inlineStr">
        <is>
          <t>◦그 외 달리 분류되지 않은 특정 상품을 전문적으로 도매하는 산업활동을 말한다.
&lt;예 시&gt;
·화약 도매
·폭약 도매
·산업용 가죽제품 도매
·유리섬유 도매
&lt;제 외&gt;
*총포(→513298)
*플라스틱 필름, 폴리에틸렌필름(→513415)
*아스팔트(→514122)
*기타 산업용 중간재 및 재생재료(→514990)</t>
        </is>
      </c>
      <c r="G881" s="90" t="n">
        <v>93.2</v>
      </c>
      <c r="H881" s="90" t="n">
        <v>0</v>
      </c>
      <c r="I881" s="90" t="n">
        <v>5</v>
      </c>
    </row>
    <row r="882" ht="17.25" customHeight="1" s="66">
      <c r="A882" s="65" t="inlineStr">
        <is>
          <t>521100</t>
        </is>
      </c>
      <c r="B882" s="68" t="inlineStr">
        <is>
          <t>도매 및 소매업</t>
        </is>
      </c>
      <c r="C882" s="68" t="inlineStr">
        <is>
          <t>소매업: 자동차 제외</t>
        </is>
      </c>
      <c r="D882" s="68" t="inlineStr">
        <is>
          <t>음ㆍ식료품 위주 종합 소매업</t>
        </is>
      </c>
      <c r="E882" s="68" t="inlineStr">
        <is>
          <t>슈퍼마켓</t>
        </is>
      </c>
      <c r="F882" s="68" t="inlineStr">
        <is>
          <t>◦단일 경영 주체가 일정 규모의 시설(165㎡～3,000㎡)을 갖추고 음◦식료품을 위주로 하여 각종 생활 잡화 등을 함께 소매하는 산업활동을 말한다. 체인화 편의점의 형태로 운영하는 산업활동은 제외한다.
&lt;예 시&gt;
·슈퍼마켓
·중형 종합 할인점
·기업형 슈퍼마켓(SSM)</t>
        </is>
      </c>
      <c r="G882" s="90" t="n">
        <v>95.2</v>
      </c>
      <c r="H882" s="90" t="n">
        <v>0</v>
      </c>
      <c r="I882" s="90" t="n">
        <v>2.8</v>
      </c>
    </row>
    <row r="883" ht="17.25" customHeight="1" s="66">
      <c r="A883" s="65" t="inlineStr">
        <is>
          <t>521910</t>
        </is>
      </c>
      <c r="B883" s="68" t="inlineStr">
        <is>
          <t>도매 및 소매업</t>
        </is>
      </c>
      <c r="C883" s="68" t="inlineStr">
        <is>
          <t>소매업: 자동차 제외</t>
        </is>
      </c>
      <c r="D883" s="68" t="inlineStr">
        <is>
          <t>대형 종합 소매업</t>
        </is>
      </c>
      <c r="E883" s="68" t="inlineStr">
        <is>
          <t>백화점</t>
        </is>
      </c>
      <c r="F883" s="68" t="inlineStr">
        <is>
          <t>◦단일 경영 주체가 일정한 장소에서 총괄적으로 관리되는 다수의 매장으로 구획된 판매 시설을 갖추고 각종 상품을 종합적으로 소매하는 산업활동을 말한다. 일반적으로 이러한 백화점은 각 매장마다 전용 판매원이 고정 배치되어 있어 각 매장 단위로 직접 매매 및 계산활동이 이루어진다. 백화점의 형태를 가지고 있으나 내부의 각 영업 부분이 별도의 경영권을 가지고 운영되면 그 별도의 경영권을 가지는 개별적인 사업체는 종합 소매업으로 분류하지 않고 전문 소매업의 각 해당 항목에 분류한다.</t>
        </is>
      </c>
      <c r="G883" s="90" t="n">
        <v>92.5</v>
      </c>
      <c r="H883" s="90" t="n">
        <v>0</v>
      </c>
      <c r="I883" s="90" t="n">
        <v>4</v>
      </c>
    </row>
    <row r="884" ht="17.25" customHeight="1" s="66">
      <c r="A884" s="65" t="inlineStr">
        <is>
          <t>521911</t>
        </is>
      </c>
      <c r="B884" s="68" t="inlineStr">
        <is>
          <t>도매 및 소매업</t>
        </is>
      </c>
      <c r="C884" s="68" t="inlineStr">
        <is>
          <t>소매업: 자동차 제외</t>
        </is>
      </c>
      <c r="D884" s="68" t="inlineStr">
        <is>
          <t>대형 종합 소매업</t>
        </is>
      </c>
      <c r="E884" s="68" t="inlineStr">
        <is>
          <t>기타 대형 종합 소매업</t>
        </is>
      </c>
      <c r="F884" s="68" t="inlineStr">
        <is>
          <t>◦단일의 경영 체제 아래에서 대형 매장(백화점, 대형 마트 제외)을 갖추고 식료품, 의류, 가구, 가전제품, 화장품, 귀금속, 약품 등의 각종 유형의 상품을 종합적으로 소매하는 산업활동을 말한다.
&lt;예 시&gt;
·대형 종합 소매업(백화점, 대형 마트 제외)
·대형 아울렛
·대형 쇼핑센터
·복합 쇼핑몰</t>
        </is>
      </c>
      <c r="G884" s="90" t="n">
        <v>91.3</v>
      </c>
      <c r="H884" s="90" t="n">
        <v>0</v>
      </c>
      <c r="I884" s="90" t="n">
        <v>4</v>
      </c>
    </row>
    <row r="885" ht="17.25" customHeight="1" s="66">
      <c r="A885" s="65" t="inlineStr">
        <is>
          <t>521912</t>
        </is>
      </c>
      <c r="B885" s="68" t="inlineStr">
        <is>
          <t>도매 및 소매업</t>
        </is>
      </c>
      <c r="C885" s="68" t="inlineStr">
        <is>
          <t>소매업: 자동차 제외</t>
        </is>
      </c>
      <c r="D885" s="68" t="inlineStr">
        <is>
          <t>대형 종합 소매업</t>
        </is>
      </c>
      <c r="E885" s="68" t="inlineStr">
        <is>
          <t>대형 마트</t>
        </is>
      </c>
      <c r="F885" s="68" t="inlineStr">
        <is>
          <t>◦단일 경영 주체가 일정한 장소에서 총괄적으로 관리하는 대형 매장을 갖추고 식품, 가전, 농◦수산물, 공산품 및 각종 생활용품에 이르기까지 다양한 상품을 구비하여 셀프 서비스 방식으로 소매하는 산업활동을 말한다. 대형 마트는 회원제로 운영하는 경우와 비회원제로 운영하는 경우를 모두 포함하며 대량 구매 및 대량 판매 방식을 통한 가격 경쟁력을 확보하는 것을 특징으로 한다.
&lt;예 시&gt;
·대형 종합 할인점(백화점 제외)
&lt;제 외&gt;
·대형 아울렛(521911)
·대형 면세점(521913)
·대형 특정 상품 전문점
·대형 쇼핑센터(521911)
·복합 쇼핑몰(521911)</t>
        </is>
      </c>
      <c r="G885" s="90" t="n">
        <v>91.3</v>
      </c>
      <c r="H885" s="90" t="n">
        <v>0</v>
      </c>
      <c r="I885" s="90" t="n">
        <v>4</v>
      </c>
    </row>
    <row r="886" ht="17.25" customHeight="1" s="66">
      <c r="A886" s="65" t="inlineStr">
        <is>
          <t>521913</t>
        </is>
      </c>
      <c r="B886" s="68" t="inlineStr">
        <is>
          <t>도매 및 소매업</t>
        </is>
      </c>
      <c r="C886" s="68" t="inlineStr">
        <is>
          <t>소매업: 자동차 제외</t>
        </is>
      </c>
      <c r="D886" s="68" t="inlineStr">
        <is>
          <t>면세점</t>
        </is>
      </c>
      <c r="E886" s="68" t="inlineStr">
        <is>
          <t>면세점</t>
        </is>
      </c>
      <c r="F886" s="68" t="inlineStr">
        <is>
          <t>◦각종 상품을 종합적으로 취급하고 여행자에게 부과되는 세금(소비세, 주세, 수입품 관세 등)을 면제하여 판매하는 산업활동을 말한다. 매장면적과 관계없이 공항◦항만 면세점, 시내 면세점, 내국인 면세점 등을 모두 포함한다.
&lt;예 시&gt;
·공항·항만 면세점
·시내 면세점
·내국인 면세점</t>
        </is>
      </c>
      <c r="G886" s="90" t="n">
        <v>91.3</v>
      </c>
      <c r="H886" s="90" t="n">
        <v>0</v>
      </c>
      <c r="I886" s="90" t="n">
        <v>4</v>
      </c>
    </row>
    <row r="887" ht="17.25" customHeight="1" s="66">
      <c r="A887" s="65" t="inlineStr">
        <is>
          <t>521991</t>
        </is>
      </c>
      <c r="B887" s="68" t="inlineStr">
        <is>
          <t>도매 및 소매업</t>
        </is>
      </c>
      <c r="C887" s="68" t="inlineStr">
        <is>
          <t>소매업: 자동차 제외</t>
        </is>
      </c>
      <c r="D887" s="68" t="inlineStr">
        <is>
          <t>그 외 기타 종합 소매업</t>
        </is>
      </c>
      <c r="E887" s="68" t="inlineStr">
        <is>
          <t>그 외 기타 종합 소매업</t>
        </is>
      </c>
      <c r="F887" s="68" t="inlineStr">
        <is>
          <t>◦단일 경영 주체가 일정한 장소에서 매장(3,000㎡ 미만)을 갖추고 특정 상품에 특화되지 않은 시계, 주방용품, 가구, 가전제품, 액세서리 및 기타 가정용품 등의 상품을 종합적으로 소매하는 산업활동을 말한다.
&lt;예 시&gt;
·결혼용품 전문점(종합 상품으로 구성)
·노인용품 전문점(종합 상품으로 구성)</t>
        </is>
      </c>
      <c r="G887" s="90" t="n">
        <v>95.7</v>
      </c>
      <c r="H887" s="90" t="n">
        <v>0</v>
      </c>
      <c r="I887" s="90" t="n">
        <v>4.7</v>
      </c>
    </row>
    <row r="888" ht="17.25" customHeight="1" s="66">
      <c r="A888" s="65" t="inlineStr">
        <is>
          <t>521992</t>
        </is>
      </c>
      <c r="B888" s="68" t="inlineStr">
        <is>
          <t>도매 및 소매업</t>
        </is>
      </c>
      <c r="C888" s="68" t="inlineStr">
        <is>
          <t>소매업: 자동차 제외</t>
        </is>
      </c>
      <c r="D888" s="68" t="inlineStr">
        <is>
          <t>음ㆍ식료품 위주 종합 소매업</t>
        </is>
      </c>
      <c r="E888" s="68" t="inlineStr">
        <is>
          <t>체인화 편의점</t>
        </is>
      </c>
      <c r="F888" s="68" t="inlineStr">
        <is>
          <t>◦단일 경영 주체가 일정한 시설을 갖춘 매장에서 종합 상품 체인 공급업자와 체인계약을 체결하고 편의점 운영에 필요한 식료품 및 담배 위주의 각종 상품을 계속적으로 공급받아 판매(소매)하는 산업활동을 말한다.
&lt;예 시&gt;
·편의점</t>
        </is>
      </c>
      <c r="G888" s="90" t="n">
        <v>93.7</v>
      </c>
      <c r="H888" s="90" t="n">
        <v>0</v>
      </c>
      <c r="I888" s="90" t="n">
        <v>7</v>
      </c>
    </row>
    <row r="889" ht="17.25" customHeight="1" s="66">
      <c r="A889" s="65" t="inlineStr">
        <is>
          <t>522011</t>
        </is>
      </c>
      <c r="B889" s="68" t="inlineStr">
        <is>
          <t>도매 및 소매업</t>
        </is>
      </c>
      <c r="C889" s="68" t="inlineStr">
        <is>
          <t>소매업: 자동차 제외</t>
        </is>
      </c>
      <c r="D889" s="68" t="inlineStr">
        <is>
          <t>신선식품 및 단순 가공식품 소매업</t>
        </is>
      </c>
      <c r="E889" s="68" t="inlineStr">
        <is>
          <t>곡물, 곡분 및 가축 사료 소매업</t>
        </is>
      </c>
      <c r="F889" s="68" t="inlineStr">
        <is>
          <t>◦양곡 및 잡곡의 곡물, 곡분(제분) 등을 소매하는 산업활동을 말한다.
&lt;예 시&gt;
·쌀, 보리, 밀 소매
·콩, 팥 소매
·옥수수 소매
·곡물 가루 소
&lt;제 외&gt;
·반려애완용 동물 사료 소매(523996)
*가축용 사료 소매(→522012)</t>
        </is>
      </c>
      <c r="G889" s="90" t="n">
        <v>96.3</v>
      </c>
      <c r="H889" s="90" t="n">
        <v>0</v>
      </c>
      <c r="I889" s="90" t="n">
        <v>2.4</v>
      </c>
    </row>
    <row r="890" ht="17.25" customHeight="1" s="66">
      <c r="A890" s="65" t="inlineStr">
        <is>
          <t>522012</t>
        </is>
      </c>
      <c r="B890" s="68" t="inlineStr">
        <is>
          <t>도매 및 소매업</t>
        </is>
      </c>
      <c r="C890" s="68" t="inlineStr">
        <is>
          <t>소매업: 자동차 제외</t>
        </is>
      </c>
      <c r="D890" s="68" t="inlineStr">
        <is>
          <t>신선식품 및 단순 가공식품 소매업</t>
        </is>
      </c>
      <c r="E890" s="68" t="inlineStr">
        <is>
          <t>곡물, 곡분 및 가축 사료 소매업</t>
        </is>
      </c>
      <c r="F890" s="68" t="inlineStr">
        <is>
          <t>◦가축용 사료 소매</t>
        </is>
      </c>
      <c r="G890" s="90" t="n">
        <v>93.7</v>
      </c>
      <c r="H890" s="90" t="n">
        <v>0</v>
      </c>
      <c r="I890" s="90" t="n">
        <v>4.6</v>
      </c>
    </row>
    <row r="891" ht="17.25" customHeight="1" s="66">
      <c r="A891" s="65" t="inlineStr">
        <is>
          <t>522020</t>
        </is>
      </c>
      <c r="B891" s="68" t="inlineStr">
        <is>
          <t>도매 및 소매업</t>
        </is>
      </c>
      <c r="C891" s="68" t="inlineStr">
        <is>
          <t>소매업: 자동차 제외</t>
        </is>
      </c>
      <c r="D891" s="68" t="inlineStr">
        <is>
          <t>신선식품 및 단순 가공식품 소매업</t>
        </is>
      </c>
      <c r="E891" s="68" t="inlineStr">
        <is>
          <t>육류 소매업</t>
        </is>
      </c>
      <c r="F891" s="68" t="inlineStr">
        <is>
          <t>◦가금, 가축 및 수렵물의 도축 고기 등을 소매하는 산업활동을 말한다.
&lt;예 시&gt;
·돈육, 우육 소매
·가금육 소매
·조류 고기 소매
·식육점, 정육점 운영</t>
        </is>
      </c>
      <c r="G891" s="90" t="n">
        <v>91.2</v>
      </c>
      <c r="H891" s="90" t="n">
        <v>0</v>
      </c>
      <c r="I891" s="90" t="n">
        <v>3.6</v>
      </c>
    </row>
    <row r="892" ht="17.25" customHeight="1" s="66">
      <c r="A892" s="65" t="inlineStr">
        <is>
          <t>522031</t>
        </is>
      </c>
      <c r="B892" s="68" t="inlineStr">
        <is>
          <t>도매 및 소매업</t>
        </is>
      </c>
      <c r="C892" s="68" t="inlineStr">
        <is>
          <t>소매업: 자동차 제외</t>
        </is>
      </c>
      <c r="D892" s="68" t="inlineStr">
        <is>
          <t>신선식품 및 단순 가공식품 소매업</t>
        </is>
      </c>
      <c r="E892" s="68" t="inlineStr">
        <is>
          <t>신선, 냉동 및 기타 수산물 소매업</t>
        </is>
      </c>
      <c r="F892" s="68" t="inlineStr">
        <is>
          <t>◦각종 해산물 및 민물고기 등의 살아있는 것, 신선한 것, 냉동 및 기타 단순 가공한 수산물을 소매하는 산업활동을 말한다.
&lt;예 시&gt;
·수산 동물 활어, 선어 소매
·어개류(어류, 게, 새우 등) 소매
&lt;제 외&gt;
·조리 및 가공 수산식품 소매(522096)
·관상어(열대어 등) 소매(523996)</t>
        </is>
      </c>
      <c r="G892" s="90" t="n">
        <v>93.7</v>
      </c>
      <c r="H892" s="90" t="n">
        <v>0</v>
      </c>
      <c r="I892" s="90" t="n">
        <v>4.1</v>
      </c>
    </row>
    <row r="893" ht="17.25" customHeight="1" s="66">
      <c r="A893" s="65" t="inlineStr">
        <is>
          <t>522039</t>
        </is>
      </c>
      <c r="B893" s="68" t="inlineStr">
        <is>
          <t>도매 및 소매업</t>
        </is>
      </c>
      <c r="C893" s="68" t="inlineStr">
        <is>
          <t>소매업: 자동차 제외</t>
        </is>
      </c>
      <c r="D893" s="68" t="inlineStr">
        <is>
          <t>신선식품 및 단순 가공식품 소매업</t>
        </is>
      </c>
      <c r="E893" s="68" t="inlineStr">
        <is>
          <t>건어물 및 젓갈류 소매업</t>
        </is>
      </c>
      <c r="F893" s="68" t="inlineStr">
        <is>
          <t>◦해산물 및 민물고기 등을 건조, 염장한 각종 수산물을 소매하는 산업활동을 말한다.
&lt;예 시&gt;
·염장 및 염수장(鹽水藏) 어류 및 어란 소매
·조미하지 않은 젓갈 소매
·건어물 소매
&lt;제 외&gt;
·조리 및 가공 수산식품 소매(522096)
·관상어(열대어 등) 소매(523996)</t>
        </is>
      </c>
      <c r="G893" s="90" t="n">
        <v>91.59999999999999</v>
      </c>
      <c r="H893" s="90" t="n">
        <v>0</v>
      </c>
      <c r="I893" s="90" t="n">
        <v>3.8</v>
      </c>
    </row>
    <row r="894" ht="17.25" customHeight="1" s="66">
      <c r="A894" s="65" t="inlineStr">
        <is>
          <t>522040</t>
        </is>
      </c>
      <c r="B894" s="68" t="inlineStr">
        <is>
          <t>도매 및 소매업</t>
        </is>
      </c>
      <c r="C894" s="68" t="inlineStr">
        <is>
          <t>소매업: 자동차 제외</t>
        </is>
      </c>
      <c r="D894" s="68" t="inlineStr">
        <is>
          <t>신선식품 및 단순 가공식품 소매업</t>
        </is>
      </c>
      <c r="E894" s="68" t="inlineStr">
        <is>
          <t>채소, 과실 및 뿌리작물 소매업</t>
        </is>
      </c>
      <c r="F894" s="68" t="inlineStr">
        <is>
          <t>◦각종 채소류 및 뿌리작물을 소매하는 산업활동을 말한다. 채소류를 단순 건조, 냉동한 경우도 포함한다.
&lt;예 시&gt;
·채소(각종 나물) 소매
·고구마 및 감자 소매
·마늘, 도라지, 오이, 호박 소매
&lt;제 외&gt;
·채소 가공식품 소매(522096)
*과일 및 견과류 등 소매(→522050)</t>
        </is>
      </c>
      <c r="G894" s="90" t="n">
        <v>94.09999999999999</v>
      </c>
      <c r="H894" s="90" t="n">
        <v>0</v>
      </c>
      <c r="I894" s="90" t="n">
        <v>2.1</v>
      </c>
    </row>
    <row r="895" ht="17.25" customHeight="1" s="66">
      <c r="A895" s="65" t="inlineStr">
        <is>
          <t>522050</t>
        </is>
      </c>
      <c r="B895" s="68" t="inlineStr">
        <is>
          <t>도매 및 소매업</t>
        </is>
      </c>
      <c r="C895" s="68" t="inlineStr">
        <is>
          <t>소매업: 자동차 제외</t>
        </is>
      </c>
      <c r="D895" s="68" t="inlineStr">
        <is>
          <t>신선식품 및 단순 가공식품 소매업</t>
        </is>
      </c>
      <c r="E895" s="68" t="inlineStr">
        <is>
          <t>채소, 과실 및 뿌리작물 소매업</t>
        </is>
      </c>
      <c r="F895" s="68" t="inlineStr">
        <is>
          <t>◦과일 및 견과류 등을 소매하는 산업활동을 말한다. 과일류를 단순 건조, 냉동한 경우도 포함한다.
&lt;예 시&gt;
·과실 소매
·견과류(밤, 호두 등) 소매
·감 및 곶감 소매
&lt;제 외&gt;
·과실 가공식품 소매(522096)
*각종 채소류 및 뿌리작물 소매(→522040)</t>
        </is>
      </c>
      <c r="G895" s="90" t="n">
        <v>93.7</v>
      </c>
      <c r="H895" s="90" t="n">
        <v>0</v>
      </c>
      <c r="I895" s="90" t="n">
        <v>2.6</v>
      </c>
    </row>
    <row r="896" ht="17.25" customHeight="1" s="66">
      <c r="A896" s="65" t="inlineStr">
        <is>
          <t>522061</t>
        </is>
      </c>
      <c r="B896" s="68" t="inlineStr">
        <is>
          <t>도매 및 소매업</t>
        </is>
      </c>
      <c r="C896" s="68" t="inlineStr">
        <is>
          <t>소매업: 자동차 제외</t>
        </is>
      </c>
      <c r="D896" s="68" t="inlineStr">
        <is>
          <t>가공식품 소매업</t>
        </is>
      </c>
      <c r="E896" s="68" t="inlineStr">
        <is>
          <t>빵류, 과자류 및 당류 소매업</t>
        </is>
      </c>
      <c r="F896" s="68" t="inlineStr">
        <is>
          <t>◦빵류, 과자류, 떡류 등을 소매하는 산업활동을 말한다. 직접 제조하지 않고 체인 조직을 통하여 공급받아 소매하는 제과점도 포함한다.
&lt;예 시&gt;
·미과 및 생과자 소매
·떡류(송편·인절미 등) 소매
·아이스크림 소매
·껌, 캔디 소매
·피자 및 파이 소매
·햄버거 소매
·빵가루 소매
&lt;제 외&gt;
*설탕 소매(→522062)</t>
        </is>
      </c>
      <c r="G896" s="90" t="n">
        <v>90.7</v>
      </c>
      <c r="H896" s="90" t="n">
        <v>0</v>
      </c>
      <c r="I896" s="90" t="n">
        <v>4.8</v>
      </c>
    </row>
    <row r="897" ht="17.25" customHeight="1" s="66">
      <c r="A897" s="65" t="inlineStr">
        <is>
          <t>522062</t>
        </is>
      </c>
      <c r="B897" s="68" t="inlineStr">
        <is>
          <t>도매 및 소매업</t>
        </is>
      </c>
      <c r="C897" s="68" t="inlineStr">
        <is>
          <t>소매업: 자동차 제외</t>
        </is>
      </c>
      <c r="D897" s="68" t="inlineStr">
        <is>
          <t>가공식품 소매업</t>
        </is>
      </c>
      <c r="E897" s="68" t="inlineStr">
        <is>
          <t>빵류, 과자류 및 당류 소매업</t>
        </is>
      </c>
      <c r="F897" s="68" t="inlineStr">
        <is>
          <t>◦설탕</t>
        </is>
      </c>
      <c r="G897" s="90" t="n">
        <v>95.3</v>
      </c>
      <c r="H897" s="90" t="n">
        <v>0</v>
      </c>
      <c r="I897" s="90" t="n">
        <v>4.6</v>
      </c>
    </row>
    <row r="898" ht="17.25" customHeight="1" s="66">
      <c r="A898" s="65" t="inlineStr">
        <is>
          <t>522063</t>
        </is>
      </c>
      <c r="B898" s="68" t="inlineStr">
        <is>
          <t>도매 및 소매업</t>
        </is>
      </c>
      <c r="C898" s="68" t="inlineStr">
        <is>
          <t>소매업: 자동차 제외</t>
        </is>
      </c>
      <c r="D898" s="68" t="inlineStr">
        <is>
          <t>신선식품 및 단순 가공식품 소매업, 가공식품 소매업</t>
        </is>
      </c>
      <c r="E898" s="68" t="inlineStr">
        <is>
          <t>기타 신선식품 및 단순 가공식품 소매업, 기타 가공식품 소매업</t>
        </is>
      </c>
      <c r="F898" s="68" t="inlineStr">
        <is>
          <t>◦각종 음식료품을 직접 제조하여 그 장소에서 접객시설없이 일반대중에게 소매하는 업으로서 군밤, 군고구마, 찐옥수수, 호떡, 냉차 등과 같은 음식료품을 가공 소매</t>
        </is>
      </c>
      <c r="G898" s="90" t="n">
        <v>90.09999999999999</v>
      </c>
      <c r="H898" s="90" t="n">
        <v>0</v>
      </c>
      <c r="I898" s="90" t="n">
        <v>10.1</v>
      </c>
    </row>
    <row r="899" ht="17.25" customHeight="1" s="66">
      <c r="A899" s="65" t="inlineStr">
        <is>
          <t>522071</t>
        </is>
      </c>
      <c r="B899" s="68" t="inlineStr">
        <is>
          <t>도매 및 소매업</t>
        </is>
      </c>
      <c r="C899" s="68" t="inlineStr">
        <is>
          <t>소매업: 자동차 제외</t>
        </is>
      </c>
      <c r="D899" s="68" t="inlineStr">
        <is>
          <t>음ㆍ식료품 위주 종합 소매업</t>
        </is>
      </c>
      <c r="E899" s="68" t="inlineStr">
        <is>
          <t>기타 음ㆍ식료품 위주 종합 소매업</t>
        </is>
      </c>
      <c r="F899" s="68" t="inlineStr">
        <is>
          <t>◦단일 경영 주체가 일정한 시설(165㎡ 미만)을 갖추고 슈퍼마켓, 체인화 편의점 이외의 방식으로 음◦식료품을 위주로 하여 각종 생활 잡화 등을 함께 소매하는 산업활동을 말한다.</t>
        </is>
      </c>
      <c r="G899" s="90" t="n">
        <v>92.7</v>
      </c>
      <c r="H899" s="90" t="n">
        <v>0</v>
      </c>
      <c r="I899" s="90" t="n">
        <v>4.6</v>
      </c>
    </row>
    <row r="900" ht="17.25" customHeight="1" s="66">
      <c r="A900" s="65" t="inlineStr">
        <is>
          <t>522080</t>
        </is>
      </c>
      <c r="B900" s="68" t="inlineStr">
        <is>
          <t>도매 및 소매업</t>
        </is>
      </c>
      <c r="C900" s="68" t="inlineStr">
        <is>
          <t>소매업: 자동차 제외</t>
        </is>
      </c>
      <c r="D900" s="68" t="inlineStr">
        <is>
          <t>음료 및 담배 소매업</t>
        </is>
      </c>
      <c r="E900" s="68" t="inlineStr">
        <is>
          <t>담배 소매업</t>
        </is>
      </c>
      <c r="F900" s="68" t="inlineStr">
        <is>
          <t>◦각종 담배를 소매하는 산업활동을 말한다.</t>
        </is>
      </c>
      <c r="G900" s="90" t="n">
        <v>96</v>
      </c>
      <c r="H900" s="90" t="n">
        <v>0</v>
      </c>
      <c r="I900" s="90" t="n">
        <v>7.4</v>
      </c>
    </row>
    <row r="901" ht="17.25" customHeight="1" s="66">
      <c r="A901" s="65" t="inlineStr">
        <is>
          <t>522081</t>
        </is>
      </c>
      <c r="B901" s="68" t="inlineStr">
        <is>
          <t>도매 및 소매업</t>
        </is>
      </c>
      <c r="C901" s="68" t="inlineStr">
        <is>
          <t>소매업: 자동차 제외</t>
        </is>
      </c>
      <c r="D901" s="68" t="inlineStr">
        <is>
          <t>그 외 기타 가정용품 소매업</t>
        </is>
      </c>
      <c r="E901" s="68" t="inlineStr">
        <is>
          <t>그 외 기타 분류 안된 가정용품 소매업</t>
        </is>
      </c>
      <c r="F901" s="68" t="inlineStr">
        <is>
          <t>◦쓰레기봉투</t>
        </is>
      </c>
      <c r="G901" s="90" t="n">
        <v>95</v>
      </c>
      <c r="H901" s="90" t="n">
        <v>0</v>
      </c>
      <c r="I901" s="90" t="n">
        <v>5</v>
      </c>
    </row>
    <row r="902" ht="17.25" customHeight="1" s="66">
      <c r="A902" s="65" t="inlineStr">
        <is>
          <t>522082</t>
        </is>
      </c>
      <c r="B902" s="68" t="inlineStr">
        <is>
          <t>예술, 스포츠 및 여가관련 서비스업</t>
        </is>
      </c>
      <c r="C902" s="68" t="inlineStr">
        <is>
          <t>스포츠 및 오락관련 서비스업</t>
        </is>
      </c>
      <c r="D902" s="68" t="inlineStr">
        <is>
          <t>사행시설 관리 및 운영업</t>
        </is>
      </c>
      <c r="E902" s="68" t="inlineStr">
        <is>
          <t>복권 발행 및 판매업</t>
        </is>
      </c>
      <c r="F902" s="68" t="inlineStr">
        <is>
          <t>◦각종 복권을 소매하는 산업활동을 말한다.
&lt;예 시&gt;
·복권 판매소(소매)
&lt;제 외&gt;
*각종 복권 도매(→512293)
*각종 복권 발행(→924906)</t>
        </is>
      </c>
      <c r="G902" s="90" t="n">
        <v>94.2</v>
      </c>
      <c r="H902" s="90" t="n">
        <v>0</v>
      </c>
      <c r="I902" s="90" t="n">
        <v>7</v>
      </c>
    </row>
    <row r="903" ht="17.25" customHeight="1" s="66">
      <c r="A903" s="65" t="inlineStr">
        <is>
          <t>522091</t>
        </is>
      </c>
      <c r="B903" s="68" t="inlineStr">
        <is>
          <t>도매 및 소매업</t>
        </is>
      </c>
      <c r="C903" s="68" t="inlineStr">
        <is>
          <t>소매업: 자동차 제외</t>
        </is>
      </c>
      <c r="D903" s="68" t="inlineStr">
        <is>
          <t>가공식품 소매업</t>
        </is>
      </c>
      <c r="E903" s="68" t="inlineStr">
        <is>
          <t>건강 보조식품 소매업</t>
        </is>
      </c>
      <c r="F903" s="68" t="inlineStr">
        <is>
          <t>◦「인삼산업법」 제2조제3호에 따른 홍삼과 홍삼제품
 ·홍삼엑기스소매</t>
        </is>
      </c>
      <c r="G903" s="90" t="n">
        <v>92.8</v>
      </c>
      <c r="H903" s="90" t="n">
        <v>0</v>
      </c>
      <c r="I903" s="90" t="n">
        <v>4</v>
      </c>
    </row>
    <row r="904" ht="17.25" customHeight="1" s="66">
      <c r="A904" s="65" t="inlineStr">
        <is>
          <t>522092</t>
        </is>
      </c>
      <c r="B904" s="68" t="inlineStr">
        <is>
          <t>도매 및 소매업</t>
        </is>
      </c>
      <c r="C904" s="68" t="inlineStr">
        <is>
          <t>소매업: 자동차 제외</t>
        </is>
      </c>
      <c r="D904" s="68" t="inlineStr">
        <is>
          <t>그 외 기타 상품 전문 소매업</t>
        </is>
      </c>
      <c r="E904" s="68" t="inlineStr">
        <is>
          <t>그 외 기타 분류 안된 상품 전문 소매업</t>
        </is>
      </c>
      <c r="F904" s="68" t="inlineStr">
        <is>
          <t>◦백삼, 수삼, 태극삼, 인삼차 등 기타인삼제품</t>
        </is>
      </c>
      <c r="G904" s="90" t="n">
        <v>86.3</v>
      </c>
      <c r="H904" s="90" t="n">
        <v>0</v>
      </c>
      <c r="I904" s="90" t="n">
        <v>2.7</v>
      </c>
    </row>
    <row r="905" ht="17.25" customHeight="1" s="66">
      <c r="A905" s="65" t="inlineStr">
        <is>
          <t>522093</t>
        </is>
      </c>
      <c r="B905" s="68" t="inlineStr">
        <is>
          <t>도매 및 소매업</t>
        </is>
      </c>
      <c r="C905" s="68" t="inlineStr">
        <is>
          <t>소매업: 자동차 제외</t>
        </is>
      </c>
      <c r="D905" s="68" t="inlineStr">
        <is>
          <t>음료 및 담배 소매업</t>
        </is>
      </c>
      <c r="E905" s="68" t="inlineStr">
        <is>
          <t>음료 소매업</t>
        </is>
      </c>
      <c r="F905" s="68" t="inlineStr">
        <is>
          <t>◦얼음</t>
        </is>
      </c>
      <c r="G905" s="90" t="n">
        <v>86.09999999999999</v>
      </c>
      <c r="H905" s="90" t="n">
        <v>0</v>
      </c>
      <c r="I905" s="90" t="n">
        <v>3.3</v>
      </c>
    </row>
    <row r="906" ht="17.25" customHeight="1" s="66">
      <c r="A906" s="65" t="inlineStr">
        <is>
          <t>522094</t>
        </is>
      </c>
      <c r="B906" s="68" t="inlineStr">
        <is>
          <t>도매 및 소매업</t>
        </is>
      </c>
      <c r="C906" s="68" t="inlineStr">
        <is>
          <t>소매업: 자동차 제외</t>
        </is>
      </c>
      <c r="D906" s="68" t="inlineStr">
        <is>
          <t>음료 및 담배 소매업</t>
        </is>
      </c>
      <c r="E906" s="68" t="inlineStr">
        <is>
          <t>음료 소매업</t>
        </is>
      </c>
      <c r="F906" s="68" t="inlineStr">
        <is>
          <t>◦알코올성음료
&lt;예 시&gt;
·곡주, 과실주, 발효주, 양주, 탁주, 포도주 등</t>
        </is>
      </c>
      <c r="G906" s="90" t="n">
        <v>89.09999999999999</v>
      </c>
      <c r="H906" s="90" t="n">
        <v>0</v>
      </c>
      <c r="I906" s="90" t="n">
        <v>3.2</v>
      </c>
    </row>
    <row r="907" ht="17.25" customHeight="1" s="66">
      <c r="A907" s="65" t="inlineStr">
        <is>
          <t>522095</t>
        </is>
      </c>
      <c r="B907" s="68" t="inlineStr">
        <is>
          <t>도매 및 소매업</t>
        </is>
      </c>
      <c r="C907" s="68" t="inlineStr">
        <is>
          <t>소매업: 자동차 제외</t>
        </is>
      </c>
      <c r="D907" s="68" t="inlineStr">
        <is>
          <t>음료 및 담배 소매업</t>
        </is>
      </c>
      <c r="E907" s="68" t="inlineStr">
        <is>
          <t>음료 소매업</t>
        </is>
      </c>
      <c r="F907" s="68" t="inlineStr">
        <is>
          <t>◦비알코올 음료를 소매하는 산업활동을 말한다.
&lt;예 시&gt;
·생수 소매
&lt;제 외&gt;
*얼음(→522093)
*알코올성음료(→522094)
*우유 소매(→522098)
*자기명의로 우유·요쿠르트, 두유, 쥬스 등을 구입하여 소매하는 외판원(→522099)</t>
        </is>
      </c>
      <c r="G907" s="90" t="n">
        <v>88.3</v>
      </c>
      <c r="H907" s="90" t="n">
        <v>0</v>
      </c>
      <c r="I907" s="90" t="n">
        <v>7.2</v>
      </c>
    </row>
    <row r="908" ht="17.25" customHeight="1" s="66">
      <c r="A908" s="65" t="inlineStr">
        <is>
          <t>522096</t>
        </is>
      </c>
      <c r="B908" s="68" t="inlineStr">
        <is>
          <t>도매 및 소매업</t>
        </is>
      </c>
      <c r="C908" s="68" t="inlineStr">
        <is>
          <t>소매업: 자동차 제외</t>
        </is>
      </c>
      <c r="D908" s="68" t="inlineStr">
        <is>
          <t>신선식품 및 단순 가공식품 소매업, 가공식품 소매업</t>
        </is>
      </c>
      <c r="E908" s="68" t="inlineStr">
        <is>
          <t>기타 신선식품 및 단순 가공식품 소매업, 기타 가공식품 소매업</t>
        </is>
      </c>
      <c r="F908" s="68" t="inlineStr">
        <is>
          <t>◦기타 식료품을 소매하는 산업활동을 말한다. 조리 및 가공한 수산 식품을 소매하는 활동도 포함한다.
&lt;예 시&gt;
·벌꿀 소매
·코코아 소매
·커피, 차류 소매
·계란 및 조란 소매
·유지 소매
·국수 등 면류 제품 소매
·된장 및 고추장 소매
·어묵 및 조미 해산물 소매
·전분 소매
&lt;제 외&gt;
*각종 음식료품을 직접 제조하여 그 장소에서 접객시설없이 일반대중에게 소매하는 업으로서 군밤, 군고구마, 찐옥수수, 호떡, 냉차 등과 같은 음식료품을 가공 소매(→522063)</t>
        </is>
      </c>
      <c r="G908" s="90" t="n">
        <v>88.5</v>
      </c>
      <c r="H908" s="90" t="n">
        <v>0</v>
      </c>
      <c r="I908" s="90" t="n">
        <v>4</v>
      </c>
    </row>
    <row r="909" ht="17.25" customHeight="1" s="66">
      <c r="A909" s="65" t="inlineStr">
        <is>
          <t>522098</t>
        </is>
      </c>
      <c r="B909" s="68" t="inlineStr">
        <is>
          <t>도매 및 소매업</t>
        </is>
      </c>
      <c r="C909" s="68" t="inlineStr">
        <is>
          <t>소매업: 자동차 제외</t>
        </is>
      </c>
      <c r="D909" s="68" t="inlineStr">
        <is>
          <t>음료 및 담배 소매업</t>
        </is>
      </c>
      <c r="E909" s="68" t="inlineStr">
        <is>
          <t>음료 소매업</t>
        </is>
      </c>
      <c r="F909" s="68" t="inlineStr">
        <is>
          <t>◦우유</t>
        </is>
      </c>
      <c r="G909" s="90" t="n">
        <v>93.40000000000001</v>
      </c>
      <c r="H909" s="90" t="n">
        <v>0</v>
      </c>
      <c r="I909" s="90" t="n">
        <v>2.8</v>
      </c>
    </row>
    <row r="910" ht="17.25" customHeight="1" s="66">
      <c r="A910" s="65" t="inlineStr">
        <is>
          <t>522099</t>
        </is>
      </c>
      <c r="B910" s="68" t="inlineStr">
        <is>
          <t>도매 및 소매업</t>
        </is>
      </c>
      <c r="C910" s="68" t="inlineStr">
        <is>
          <t>소매업: 자동차 제외</t>
        </is>
      </c>
      <c r="D910" s="68" t="inlineStr">
        <is>
          <t>음료 및 담배 소매업</t>
        </is>
      </c>
      <c r="E910" s="68" t="inlineStr">
        <is>
          <t>음료 소매업</t>
        </is>
      </c>
      <c r="F910" s="68" t="inlineStr">
        <is>
          <t>◦자기명의로 우유·요쿠르트, 두유, 쥬스 등을 구입하여 소매하는 외판원</t>
        </is>
      </c>
      <c r="G910" s="90" t="n">
        <v>93.5</v>
      </c>
      <c r="H910" s="90" t="n">
        <v>0</v>
      </c>
      <c r="I910" s="90" t="n">
        <v>2.8</v>
      </c>
    </row>
    <row r="911" ht="17.25" customHeight="1" s="66">
      <c r="A911" s="65" t="inlineStr">
        <is>
          <t>522101</t>
        </is>
      </c>
      <c r="B911" s="68" t="inlineStr">
        <is>
          <t>도매 및 소매업</t>
        </is>
      </c>
      <c r="C911" s="68" t="inlineStr">
        <is>
          <t>소매업: 자동차 제외</t>
        </is>
      </c>
      <c r="D911" s="68" t="inlineStr">
        <is>
          <t>가공식품 소매업</t>
        </is>
      </c>
      <c r="E911" s="68" t="inlineStr">
        <is>
          <t>건강 보조식품 소매업</t>
        </is>
      </c>
      <c r="F911" s="68" t="inlineStr">
        <is>
          <t>◦동․식물성 추출물, 과실 및 채소 농축물 등 액화식품과 인삼, 알로에, 지방산 등의 기능성 원료나 비타민류, 철 화합물 등을 첨가하여 만든 건강유지 또는 건강증진용 가공식품을 소매하는 산업활동을 말한다.
&lt;예 시&gt;
·식이섬유 가공식품 소매
·가공 건강식품 소매
·달팽이, 흑염소 추출물 소매
·알로에 가공품 소매
·인삼, 엽록소, 클로렐라 함유 가공식품 소매
·오메가-3, 레시틴, 스쿠알렌(상어간유) 등 지방산 가공식품 소매
·글루코사민, 영지버섯 자실체 추출물, 키토산, 키토올리고당 등 당 및 탄수화물류 가공식품 소매
·발효 미생물류 가공식품 소매
·아미노산 및 단백질류 가공식품 소매
·로열젤리, 효모, 효소, 화분 등 가공식품 소매
&lt;제 외&gt;
*홍삼과 홍삼제품(→522091)</t>
        </is>
      </c>
      <c r="G911" s="90" t="n">
        <v>83.2</v>
      </c>
      <c r="H911" s="90" t="n">
        <v>0</v>
      </c>
      <c r="I911" s="90" t="n">
        <v>2.8</v>
      </c>
    </row>
    <row r="912" ht="17.25" customHeight="1" s="66">
      <c r="A912" s="65" t="inlineStr">
        <is>
          <t>522105</t>
        </is>
      </c>
      <c r="B912" s="68" t="inlineStr">
        <is>
          <t>도매 및 소매업</t>
        </is>
      </c>
      <c r="C912" s="68" t="inlineStr">
        <is>
          <t>소매업: 자동차 제외</t>
        </is>
      </c>
      <c r="D912" s="68" t="inlineStr">
        <is>
          <t>그 외 기타 상품 전문 소매업</t>
        </is>
      </c>
      <c r="E912" s="68" t="inlineStr">
        <is>
          <t>그 외 기타 분류 안된 상품 전문 소매업</t>
        </is>
      </c>
      <c r="F912" s="68" t="inlineStr">
        <is>
          <t>◦한약업사
&lt;예 시&gt;
·약초, 한약재료 소매, 한약재상</t>
        </is>
      </c>
      <c r="G912" s="90" t="n">
        <v>85.8</v>
      </c>
      <c r="H912" s="90" t="n">
        <v>0</v>
      </c>
      <c r="I912" s="90" t="n">
        <v>1.5</v>
      </c>
    </row>
    <row r="913" ht="17.25" customHeight="1" s="66">
      <c r="A913" s="65" t="inlineStr">
        <is>
          <t>522109</t>
        </is>
      </c>
      <c r="B913" s="68" t="inlineStr">
        <is>
          <t>도매 및 소매업</t>
        </is>
      </c>
      <c r="C913" s="68" t="inlineStr">
        <is>
          <t>소매업: 자동차 제외</t>
        </is>
      </c>
      <c r="D913" s="68" t="inlineStr">
        <is>
          <t>가공식품 소매업</t>
        </is>
      </c>
      <c r="E913" s="68" t="inlineStr">
        <is>
          <t>조리 반찬류 소매업</t>
        </is>
      </c>
      <c r="F913" s="68" t="inlineStr">
        <is>
          <t>◦각종 재료로 만든 조리 반찬류를 소매하는 산업활동을 말한다. 판매 반찬류 중 일부를 직접 조리하여 판매하더라도 구입 상품 비중이 높은 경우에는 포함한다.
&lt;예 시&gt;
·반찬 소매
·반찬 가게(부가가치 기준으로 구입 상품 비중이 50%를 초과하는 경우)</t>
        </is>
      </c>
      <c r="G913" s="90" t="n">
        <v>91.2</v>
      </c>
      <c r="H913" s="90" t="n">
        <v>0</v>
      </c>
      <c r="I913" s="90" t="n">
        <v>7.2</v>
      </c>
    </row>
    <row r="914" ht="17.25" customHeight="1" s="66">
      <c r="A914" s="65" t="inlineStr">
        <is>
          <t>523111</t>
        </is>
      </c>
      <c r="B914" s="68" t="inlineStr">
        <is>
          <t>도매 및 소매업</t>
        </is>
      </c>
      <c r="C914" s="68" t="inlineStr">
        <is>
          <t>소매업: 자동차 제외</t>
        </is>
      </c>
      <c r="D914" s="68" t="inlineStr">
        <is>
          <t>의약품, 의료용 기구, 화장품 및 방향제 소매업</t>
        </is>
      </c>
      <c r="E914" s="68" t="inlineStr">
        <is>
          <t>의약품 및 의료용품 소매업</t>
        </is>
      </c>
      <c r="F914" s="68" t="inlineStr">
        <is>
          <t>◦각종 의약품을 소매하는 산업활동을 말한다.
&lt;예 시&gt;
·소독제 소매
·가정용 방충제 및 살균제 소매
·가축 약품 소매
·드링크제 소매(의약품)
·약국
&lt;제 외&gt;
·한약재료 소매(522105)
*한약소매(→523114)
*가정용 또는 위생용의 의료용품 소매(→523116)</t>
        </is>
      </c>
      <c r="G914" s="90" t="n">
        <v>83.5</v>
      </c>
      <c r="H914" s="90" t="n">
        <v>0</v>
      </c>
      <c r="I914" s="90" t="n">
        <v>4</v>
      </c>
    </row>
    <row r="915" ht="17.25" customHeight="1" s="66">
      <c r="A915" s="65" t="inlineStr">
        <is>
          <t>523114</t>
        </is>
      </c>
      <c r="B915" s="68" t="inlineStr">
        <is>
          <t>도매 및 소매업</t>
        </is>
      </c>
      <c r="C915" s="68" t="inlineStr">
        <is>
          <t>소매업: 자동차 제외</t>
        </is>
      </c>
      <c r="D915" s="68" t="inlineStr">
        <is>
          <t>의약품, 의료용 기구, 화장품 및 방향제 소매업</t>
        </is>
      </c>
      <c r="E915" s="68" t="inlineStr">
        <is>
          <t>의약품 및 의료용품 소매업</t>
        </is>
      </c>
      <c r="F915" s="68" t="inlineStr">
        <is>
          <t>◦한약소매
·의료보험에 의한 한약 제제수입 및 일반제제수입 포함</t>
        </is>
      </c>
      <c r="G915" s="90" t="n">
        <v>80.40000000000001</v>
      </c>
      <c r="H915" s="90" t="n">
        <v>0</v>
      </c>
      <c r="I915" s="90" t="n">
        <v>9.4</v>
      </c>
    </row>
    <row r="916" ht="17.25" customHeight="1" s="66">
      <c r="A916" s="65" t="inlineStr">
        <is>
          <t>523116</t>
        </is>
      </c>
      <c r="B916" s="68" t="inlineStr">
        <is>
          <t>도매 및 소매업</t>
        </is>
      </c>
      <c r="C916" s="68" t="inlineStr">
        <is>
          <t>소매업: 자동차 제외</t>
        </is>
      </c>
      <c r="D916" s="68" t="inlineStr">
        <is>
          <t>의약품, 의료용 기구, 화장품 및 방향제 소매업</t>
        </is>
      </c>
      <c r="E916" s="68" t="inlineStr">
        <is>
          <t>의약품 및 의료용품 소매업</t>
        </is>
      </c>
      <c r="F916" s="68" t="inlineStr">
        <is>
          <t>◦가정용 또는 위생용의 의료용품을 소매하는 산업활동을 말한다.
&lt;제 외&gt;
*한약소매(→523114)
*각종 의약품 소매(→523111)</t>
        </is>
      </c>
      <c r="G916" s="90" t="n">
        <v>86.90000000000001</v>
      </c>
      <c r="H916" s="90" t="n">
        <v>0</v>
      </c>
      <c r="I916" s="90" t="n">
        <v>7.7</v>
      </c>
    </row>
    <row r="917" ht="17.25" customHeight="1" s="66">
      <c r="A917" s="65" t="inlineStr">
        <is>
          <t>523120</t>
        </is>
      </c>
      <c r="B917" s="68" t="inlineStr">
        <is>
          <t>도매 및 소매업</t>
        </is>
      </c>
      <c r="C917" s="68" t="inlineStr">
        <is>
          <t>소매업: 자동차 제외</t>
        </is>
      </c>
      <c r="D917" s="68" t="inlineStr">
        <is>
          <t>의약품, 의료용 기구, 화장품 및 방향제 소매업</t>
        </is>
      </c>
      <c r="E917" s="68" t="inlineStr">
        <is>
          <t>의료용 기구 소매업</t>
        </is>
      </c>
      <c r="F917" s="68" t="inlineStr">
        <is>
          <t>◦외과 및 정형외과용 기구 등 각종 의료용 기구를 소매하는 산업활동을 말한다.
&lt;예 시&gt;
·보청기 소매
·뜸 치료기 소매
·수지침 소매
·혈압 측정기 소매
·의족(足), 의수(手), 의지(指) 소매</t>
        </is>
      </c>
      <c r="G917" s="90" t="n">
        <v>86.7</v>
      </c>
      <c r="H917" s="90" t="n">
        <v>0</v>
      </c>
      <c r="I917" s="90" t="n">
        <v>7.6</v>
      </c>
    </row>
    <row r="918" ht="17.25" customHeight="1" s="66">
      <c r="A918" s="65" t="inlineStr">
        <is>
          <t>523131</t>
        </is>
      </c>
      <c r="B918" s="68" t="inlineStr">
        <is>
          <t>도매 및 소매업</t>
        </is>
      </c>
      <c r="C918" s="68" t="inlineStr">
        <is>
          <t>소매업: 자동차 제외</t>
        </is>
      </c>
      <c r="D918" s="68" t="inlineStr">
        <is>
          <t>의약품, 의료용 기구, 화장품 및 방향제 소매업</t>
        </is>
      </c>
      <c r="E918" s="68" t="inlineStr">
        <is>
          <t>화장품, 비누 및 방향제 소매업</t>
        </is>
      </c>
      <c r="F918" s="68" t="inlineStr">
        <is>
          <t>◦각종 화장품, 비누 및 방향제 등을 소매하는 산업활동을 말한다.
&lt;예 시&gt;
·향수 소매
·샴푸 및 비누 소매
·세정제 및 세제 소매
·머리 염색약 소매
·탈모제 소매
·면도용 크림 소매
·화장 도구 소매
·치약 소매
·무스 및 스프레이 소매
·렌즈 클리너 소매
·구강 세척제 소매</t>
        </is>
      </c>
      <c r="G918" s="90" t="n">
        <v>87.2</v>
      </c>
      <c r="H918" s="90" t="n">
        <v>0</v>
      </c>
      <c r="I918" s="90" t="n">
        <v>9.199999999999999</v>
      </c>
    </row>
    <row r="919" ht="17.25" customHeight="1" s="66">
      <c r="A919" s="65" t="inlineStr">
        <is>
          <t>523132</t>
        </is>
      </c>
      <c r="B919" s="68" t="inlineStr">
        <is>
          <t>도매 및 소매업</t>
        </is>
      </c>
      <c r="C919" s="68" t="inlineStr">
        <is>
          <t>소매업: 자동차 제외</t>
        </is>
      </c>
      <c r="D919" s="68" t="inlineStr">
        <is>
          <t>기타 무점포 소매업</t>
        </is>
      </c>
      <c r="E919" s="68" t="inlineStr">
        <is>
          <t>방문 판매업</t>
        </is>
      </c>
      <c r="F919" s="68" t="inlineStr">
        <is>
          <t>◦외판원이 가정이나 사업체를 방문하여 자기 명의의 화장품등을 소매하는 산업활동을 말한다.
&lt;예 시&gt;
·화장품 방문 판매
&lt;제 외&gt;
*다단계 판매원이 가정이나 사업체를 방문하여 특정 상품 소매(→525200)</t>
        </is>
      </c>
      <c r="G919" s="90" t="n">
        <v>92.2</v>
      </c>
      <c r="H919" s="90" t="n">
        <v>0</v>
      </c>
      <c r="I919" s="90" t="n">
        <v>8.699999999999999</v>
      </c>
    </row>
    <row r="920" ht="17.25" customHeight="1" s="66">
      <c r="A920" s="65" t="inlineStr">
        <is>
          <t>523211</t>
        </is>
      </c>
      <c r="B920" s="68" t="inlineStr">
        <is>
          <t>도매 및 소매업</t>
        </is>
      </c>
      <c r="C920" s="68" t="inlineStr">
        <is>
          <t>소매업: 자동차 제외</t>
        </is>
      </c>
      <c r="D920" s="68" t="inlineStr">
        <is>
          <t>섬유, 직물 및 의복 액세서리 소매업</t>
        </is>
      </c>
      <c r="E920" s="68" t="inlineStr">
        <is>
          <t>섬유 원단, 실 및 기타 섬유제품 소매업</t>
        </is>
      </c>
      <c r="F920" s="68" t="inlineStr">
        <is>
          <t>◦한복지</t>
        </is>
      </c>
      <c r="G920" s="90" t="n">
        <v>91.90000000000001</v>
      </c>
      <c r="H920" s="90" t="n">
        <v>0</v>
      </c>
      <c r="I920" s="90" t="n">
        <v>3.4</v>
      </c>
    </row>
    <row r="921" ht="17.25" customHeight="1" s="66">
      <c r="A921" s="65" t="inlineStr">
        <is>
          <t>523214</t>
        </is>
      </c>
      <c r="B921" s="68" t="inlineStr">
        <is>
          <t>도매 및 소매업</t>
        </is>
      </c>
      <c r="C921" s="68" t="inlineStr">
        <is>
          <t>소매업: 자동차 제외</t>
        </is>
      </c>
      <c r="D921" s="68" t="inlineStr">
        <is>
          <t>섬유, 직물 및 의복 액세서리 소매업</t>
        </is>
      </c>
      <c r="E921" s="68" t="inlineStr">
        <is>
          <t>섬유 원단, 실 및 기타 섬유제품 소매업</t>
        </is>
      </c>
      <c r="F921" s="68" t="inlineStr">
        <is>
          <t>◦직물 및 편조원단, 기타 의류관련 제품 등을 소매하는 산업활동을 말한다.
&lt;예 시&gt;
·양복지 소매
·천막지 및 펠트지 소매
·단추 및 파스너(지퍼 등) 소매
&lt;제 외&gt;
·모조 장식품 소매(523961)
*한복지(→523211)
*면사, 모사, 나일론사, 인견사, 폴리에스테르사 등 화섬사, 어망사 및 솜편물사 재봉사 등(→523291)</t>
        </is>
      </c>
      <c r="G921" s="90" t="n">
        <v>91.09999999999999</v>
      </c>
      <c r="H921" s="90" t="n">
        <v>0</v>
      </c>
      <c r="I921" s="90" t="n">
        <v>4.5</v>
      </c>
    </row>
    <row r="922" ht="17.25" customHeight="1" s="66">
      <c r="A922" s="65" t="inlineStr">
        <is>
          <t>523221</t>
        </is>
      </c>
      <c r="B922" s="68" t="inlineStr">
        <is>
          <t>도매 및 소매업</t>
        </is>
      </c>
      <c r="C922" s="68" t="inlineStr">
        <is>
          <t>소매업: 자동차 제외</t>
        </is>
      </c>
      <c r="D922" s="68" t="inlineStr">
        <is>
          <t>의복 소매업</t>
        </is>
      </c>
      <c r="E922" s="68" t="inlineStr">
        <is>
          <t>속옷 및 잠옷 소매업</t>
        </is>
      </c>
      <c r="F922" s="68" t="inlineStr">
        <is>
          <t>◦남녀용 속옷 및 잠옷을 소매하는 산업활동을 말한다.
&lt;예 시&gt;
·러닝 소매
·브래지어 소매
·잠옷 소매
&lt;제 외&gt;
·유아용 속옷 소매(523223)</t>
        </is>
      </c>
      <c r="G922" s="90" t="n">
        <v>90.2</v>
      </c>
      <c r="H922" s="90" t="n">
        <v>0</v>
      </c>
      <c r="I922" s="90" t="n">
        <v>5.8</v>
      </c>
    </row>
    <row r="923" ht="17.25" customHeight="1" s="66">
      <c r="A923" s="65" t="inlineStr">
        <is>
          <t>523223</t>
        </is>
      </c>
      <c r="B923" s="68" t="inlineStr">
        <is>
          <t>도매 및 소매업</t>
        </is>
      </c>
      <c r="C923" s="68" t="inlineStr">
        <is>
          <t>소매업: 자동차 제외</t>
        </is>
      </c>
      <c r="D923" s="68" t="inlineStr">
        <is>
          <t>의복 소매업</t>
        </is>
      </c>
      <c r="E923" s="68" t="inlineStr">
        <is>
          <t>유아용 의류 소매업</t>
        </is>
      </c>
      <c r="F923" s="68" t="inlineStr">
        <is>
          <t>◦유아용 겉옷 및 속옷을 소매하는 산업활동을 말한다.
&lt;예 시&gt;
·유아용 겉옷 소매
·유아용 속옷 소매</t>
        </is>
      </c>
      <c r="G923" s="90" t="n">
        <v>90.2</v>
      </c>
      <c r="H923" s="90" t="n">
        <v>0</v>
      </c>
      <c r="I923" s="90" t="n">
        <v>4.5</v>
      </c>
    </row>
    <row r="924" ht="17.25" customHeight="1" s="66">
      <c r="A924" s="65" t="inlineStr">
        <is>
          <t>523231</t>
        </is>
      </c>
      <c r="B924" s="68" t="inlineStr">
        <is>
          <t>도매 및 소매업</t>
        </is>
      </c>
      <c r="C924" s="68" t="inlineStr">
        <is>
          <t>소매업: 자동차 제외</t>
        </is>
      </c>
      <c r="D924" s="68" t="inlineStr">
        <is>
          <t>의복 소매업</t>
        </is>
      </c>
      <c r="E924" s="68" t="inlineStr">
        <is>
          <t>셔츠 및 블라우스 소매업</t>
        </is>
      </c>
      <c r="F924" s="68" t="inlineStr">
        <is>
          <t>◦겉옷과 속옷을 제외한 남녀용 셔츠, 와이셔츠, 블라우스 등을 소매하는 산업활동을 말한다.
&lt;예 시&gt;
·니트 의복 소매
·티셔츠 및 셔츠류 소매
·블라우스 소매</t>
        </is>
      </c>
      <c r="G924" s="90" t="n">
        <v>89</v>
      </c>
      <c r="H924" s="90" t="n">
        <v>0</v>
      </c>
      <c r="I924" s="90" t="n">
        <v>4</v>
      </c>
    </row>
    <row r="925" ht="17.25" customHeight="1" s="66">
      <c r="A925" s="65" t="inlineStr">
        <is>
          <t>523233</t>
        </is>
      </c>
      <c r="B925" s="68" t="inlineStr">
        <is>
          <t>도매 및 소매업</t>
        </is>
      </c>
      <c r="C925" s="68" t="inlineStr">
        <is>
          <t>소매업: 자동차 제외</t>
        </is>
      </c>
      <c r="D925" s="68" t="inlineStr">
        <is>
          <t>의복 소매업</t>
        </is>
      </c>
      <c r="E925" s="68" t="inlineStr">
        <is>
          <t>남자용 겉옷 소매업</t>
        </is>
      </c>
      <c r="F925" s="68" t="inlineStr">
        <is>
          <t>◦주로 남자용 정장류, 코트류, 예복류, 재킷, 파카, 슈트, 바지 등의 겉옷(외의)을 소매하는 산업활동을 말한다.
&lt;예 시&gt;
·남자용 코트 소매
·양복 조끼 소매
·남자용 재킷, 파카, 바지, 평상복 소매</t>
        </is>
      </c>
      <c r="G925" s="90" t="n">
        <v>89</v>
      </c>
      <c r="H925" s="90" t="n">
        <v>0</v>
      </c>
      <c r="I925" s="90" t="n">
        <v>5.9</v>
      </c>
    </row>
    <row r="926" ht="17.25" customHeight="1" s="66">
      <c r="A926" s="65" t="inlineStr">
        <is>
          <t>523234</t>
        </is>
      </c>
      <c r="B926" s="68" t="inlineStr">
        <is>
          <t>도매 및 소매업</t>
        </is>
      </c>
      <c r="C926" s="68" t="inlineStr">
        <is>
          <t>소매업: 자동차 제외</t>
        </is>
      </c>
      <c r="D926" s="68" t="inlineStr">
        <is>
          <t>의복 소매업</t>
        </is>
      </c>
      <c r="E926" s="68" t="inlineStr">
        <is>
          <t>여자용 겉옷 소매업</t>
        </is>
      </c>
      <c r="F926" s="68" t="inlineStr">
        <is>
          <t>◦주로 여자용 정장류, 코트류, 예복류, 재킷, 파카, 슈트, 스커트, 바지 등의 겉옷(외의)을 소매하는 산업활동을 말한다.
&lt;예 시&gt;
·여자용 코트 소매
·여자용 정장류 소매
·여자용 재킷, 파카, 바지, 평상복 소매
·스커트 소매</t>
        </is>
      </c>
      <c r="G926" s="90" t="n">
        <v>89</v>
      </c>
      <c r="H926" s="90" t="n">
        <v>0</v>
      </c>
      <c r="I926" s="90" t="n">
        <v>8.5</v>
      </c>
    </row>
    <row r="927" ht="17.25" customHeight="1" s="66">
      <c r="A927" s="65" t="inlineStr">
        <is>
          <t>523235</t>
        </is>
      </c>
      <c r="B927" s="68" t="inlineStr">
        <is>
          <t>도매 및 소매업</t>
        </is>
      </c>
      <c r="C927" s="68" t="inlineStr">
        <is>
          <t>소매업: 자동차 제외</t>
        </is>
      </c>
      <c r="D927" s="68" t="inlineStr">
        <is>
          <t>의복 소매업</t>
        </is>
      </c>
      <c r="E927" s="68" t="inlineStr">
        <is>
          <t>한복 소매업</t>
        </is>
      </c>
      <c r="F927" s="68" t="inlineStr">
        <is>
          <t>◦자기가 한복을 직접 제조하지 않고 기성복 형태로 제조된 한복을 구입하여 소매하는 산업활동을 말한다.
&lt;예 시&gt;
·개량 한복 소매
·기성 한복 소매
&lt;제 외&gt;
·한복 맞춤집(181209)</t>
        </is>
      </c>
      <c r="G927" s="90" t="n">
        <v>89</v>
      </c>
      <c r="H927" s="90" t="n">
        <v>0</v>
      </c>
      <c r="I927" s="90" t="n">
        <v>8.199999999999999</v>
      </c>
    </row>
    <row r="928" ht="17.25" customHeight="1" s="66">
      <c r="A928" s="65" t="inlineStr">
        <is>
          <t>523236</t>
        </is>
      </c>
      <c r="B928" s="68" t="inlineStr">
        <is>
          <t>도매 및 소매업</t>
        </is>
      </c>
      <c r="C928" s="68" t="inlineStr">
        <is>
          <t>소매업: 자동차 제외</t>
        </is>
      </c>
      <c r="D928" s="68" t="inlineStr">
        <is>
          <t>의복 소매업</t>
        </is>
      </c>
      <c r="E928" s="68" t="inlineStr">
        <is>
          <t>가죽 및 모피 의복 소매업</t>
        </is>
      </c>
      <c r="F928" s="68" t="inlineStr">
        <is>
          <t>◦남녀용 가죽 및 모피 의복을 소매하는 산업활동을 말한다.
&lt;예 시&gt;
·가죽제 의복 소매
·모피제 의류 소매
&lt;제 외&gt;
·가죽제 가방 및 기타 가죽제품 소매(523260,523993)</t>
        </is>
      </c>
      <c r="G928" s="90" t="n">
        <v>89</v>
      </c>
      <c r="H928" s="90" t="n">
        <v>0</v>
      </c>
      <c r="I928" s="90" t="n">
        <v>5.9</v>
      </c>
    </row>
    <row r="929" ht="17.25" customHeight="1" s="66">
      <c r="A929" s="65" t="inlineStr">
        <is>
          <t>523237</t>
        </is>
      </c>
      <c r="B929" s="68" t="inlineStr">
        <is>
          <t>도매 및 소매업</t>
        </is>
      </c>
      <c r="C929" s="68" t="inlineStr">
        <is>
          <t>소매업: 자동차 제외</t>
        </is>
      </c>
      <c r="D929" s="68" t="inlineStr">
        <is>
          <t>의복 소매업</t>
        </is>
      </c>
      <c r="E929" s="68" t="inlineStr">
        <is>
          <t>기타 의복 소매업</t>
        </is>
      </c>
      <c r="F929" s="68" t="inlineStr">
        <is>
          <t>◦남녀용 교복, 제복, 단체복, 작업복, 근무복, 수영복 등을 소매하는 산업활동을 말한다.
&lt;예 시&gt;
·교복 소매
·단체복, 작업복 소매
·수영복 소매
&lt;제 외&gt;
*등산용의류 소매(→523935)
*스포츠의류 소매(→523936)</t>
        </is>
      </c>
      <c r="G929" s="90" t="n">
        <v>89</v>
      </c>
      <c r="H929" s="90" t="n">
        <v>0</v>
      </c>
      <c r="I929" s="90" t="n">
        <v>4.9</v>
      </c>
    </row>
    <row r="930" ht="17.25" customHeight="1" s="66">
      <c r="A930" s="65" t="inlineStr">
        <is>
          <t>523241</t>
        </is>
      </c>
      <c r="B930" s="68" t="inlineStr">
        <is>
          <t>도매 및 소매업</t>
        </is>
      </c>
      <c r="C930" s="68" t="inlineStr">
        <is>
          <t>소매업: 자동차 제외</t>
        </is>
      </c>
      <c r="D930" s="68" t="inlineStr">
        <is>
          <t>신발 소매업</t>
        </is>
      </c>
      <c r="E930" s="68" t="inlineStr">
        <is>
          <t>신발 소매업</t>
        </is>
      </c>
      <c r="F930" s="68" t="inlineStr">
        <is>
          <t>◦구두, 캐주얼화</t>
        </is>
      </c>
      <c r="G930" s="90" t="n">
        <v>88.09999999999999</v>
      </c>
      <c r="H930" s="90" t="n">
        <v>0</v>
      </c>
      <c r="I930" s="90" t="n">
        <v>5.8</v>
      </c>
    </row>
    <row r="931" ht="17.25" customHeight="1" s="66">
      <c r="A931" s="65" t="inlineStr">
        <is>
          <t>523242</t>
        </is>
      </c>
      <c r="B931" s="68" t="inlineStr">
        <is>
          <t>도매 및 소매업</t>
        </is>
      </c>
      <c r="C931" s="68" t="inlineStr">
        <is>
          <t>소매업: 자동차 제외</t>
        </is>
      </c>
      <c r="D931" s="68" t="inlineStr">
        <is>
          <t>신발 소매업</t>
        </is>
      </c>
      <c r="E931" s="68" t="inlineStr">
        <is>
          <t>신발 소매업</t>
        </is>
      </c>
      <c r="F931" s="68" t="inlineStr">
        <is>
          <t>◦각종 재료의 신발을 소매하는 산업활동을 말한다.
&lt;예 시&gt;
·운동화 소매
·각반, 나무 신발 소매
·신발 끈 소매
&lt;제 외&gt;
·등산화 소매(523932)
*구두, 캐주얼화 소매(→523241)</t>
        </is>
      </c>
      <c r="G931" s="90" t="n">
        <v>91.2</v>
      </c>
      <c r="H931" s="90" t="n">
        <v>0</v>
      </c>
      <c r="I931" s="90" t="n">
        <v>6.3</v>
      </c>
    </row>
    <row r="932" ht="17.25" customHeight="1" s="66">
      <c r="A932" s="65" t="inlineStr">
        <is>
          <t>523252</t>
        </is>
      </c>
      <c r="B932" s="68" t="inlineStr">
        <is>
          <t>도매 및 소매업</t>
        </is>
      </c>
      <c r="C932" s="68" t="inlineStr">
        <is>
          <t>소매업: 자동차 제외</t>
        </is>
      </c>
      <c r="D932" s="68" t="inlineStr">
        <is>
          <t>섬유, 직물 및 의복 액세서리 소매업</t>
        </is>
      </c>
      <c r="E932" s="68" t="inlineStr">
        <is>
          <t>의복 액세서리 및 모조 장신구 소매업</t>
        </is>
      </c>
      <c r="F932" s="68" t="inlineStr">
        <is>
          <t>◦각종 의복 액세서리를 소매하는 산업활동을 말한다.
&lt;예 시&gt;
·넥타이 소매
·모자 및 장갑 소매
·스카프, 머플러, 숄 소매
·모피제 의복 액세서리 소매
·양말 및 스타킹 소매
&lt;제 외&gt;
*가발 소매(→524000)
*각종 모조 장신구 소매(→523292)</t>
        </is>
      </c>
      <c r="G932" s="90" t="n">
        <v>89.09999999999999</v>
      </c>
      <c r="H932" s="90" t="n">
        <v>0</v>
      </c>
      <c r="I932" s="90" t="n">
        <v>8.1</v>
      </c>
    </row>
    <row r="933" ht="17.25" customHeight="1" s="66">
      <c r="A933" s="65" t="inlineStr">
        <is>
          <t>523260</t>
        </is>
      </c>
      <c r="B933" s="68" t="inlineStr">
        <is>
          <t>도매 및 소매업</t>
        </is>
      </c>
      <c r="C933" s="68" t="inlineStr">
        <is>
          <t>소매업: 자동차 제외</t>
        </is>
      </c>
      <c r="D933" s="68" t="inlineStr">
        <is>
          <t>가방 및 기타 가죽제품 소매업</t>
        </is>
      </c>
      <c r="E933" s="68" t="inlineStr">
        <is>
          <t>가방 및 기타 가죽제품 소매업</t>
        </is>
      </c>
      <c r="F933" s="68" t="inlineStr">
        <is>
          <t>◦가방 및 기타 가죽제품을 전문적으로 소매하는 산업활동을 말한다.
&lt;예 시&gt;
·핸드백 및 지갑 소매
·트렁크 소매
·보호용 케이스 소매
&lt;제 외&gt;
·장갑(523252) 및 의복 벨트 소매(523292)
*피혁류(→523993)</t>
        </is>
      </c>
      <c r="G933" s="90" t="n">
        <v>89.2</v>
      </c>
      <c r="H933" s="90" t="n">
        <v>0</v>
      </c>
      <c r="I933" s="90" t="n">
        <v>6.9</v>
      </c>
    </row>
    <row r="934" ht="17.25" customHeight="1" s="66">
      <c r="A934" s="65" t="inlineStr">
        <is>
          <t>523291</t>
        </is>
      </c>
      <c r="B934" s="68" t="inlineStr">
        <is>
          <t>도매 및 소매업</t>
        </is>
      </c>
      <c r="C934" s="68" t="inlineStr">
        <is>
          <t>소매업: 자동차 제외</t>
        </is>
      </c>
      <c r="D934" s="68" t="inlineStr">
        <is>
          <t>섬유, 직물 및 의복 액세서리 소매업</t>
        </is>
      </c>
      <c r="E934" s="68" t="inlineStr">
        <is>
          <t>섬유 원단, 실 및 기타 섬유제품 소매업</t>
        </is>
      </c>
      <c r="F934" s="68" t="inlineStr">
        <is>
          <t>◦면사, 모사(소모사, 방모사 등), 나일론사, 인견사, 폴리에스테르사 등 화섬사, 어망사 및 솜편물사 재봉사 등</t>
        </is>
      </c>
      <c r="G934" s="90" t="n">
        <v>91.59999999999999</v>
      </c>
      <c r="H934" s="90" t="n">
        <v>0</v>
      </c>
      <c r="I934" s="90" t="n">
        <v>1.9</v>
      </c>
    </row>
    <row r="935" ht="17.25" customHeight="1" s="66">
      <c r="A935" s="65" t="inlineStr">
        <is>
          <t>523292</t>
        </is>
      </c>
      <c r="B935" s="68" t="inlineStr">
        <is>
          <t>도매 및 소매업</t>
        </is>
      </c>
      <c r="C935" s="68" t="inlineStr">
        <is>
          <t>소매업: 자동차 제외</t>
        </is>
      </c>
      <c r="D935" s="68" t="inlineStr">
        <is>
          <t>섬유, 직물 및 의복 액세서리 소매업</t>
        </is>
      </c>
      <c r="E935" s="68" t="inlineStr">
        <is>
          <t>의복 액세서리 및 모조 장신구 소매업</t>
        </is>
      </c>
      <c r="F935" s="68" t="inlineStr">
        <is>
          <t>◦각종 모조 장신구를 소매하는 산업활동을 말한다.
&lt;예 시&gt;
·버클(요대) 소매
·머리핀 소매
·넥타이핀 소매
·귀걸이(귀금속 제외) 소매
&lt;제 외&gt;
·모조 장식품 소매(523961)
*가발 소매(→524000)
*각종 의복 액세서리 소매(→523252)</t>
        </is>
      </c>
      <c r="G935" s="90" t="n">
        <v>88.5</v>
      </c>
      <c r="H935" s="90" t="n">
        <v>0</v>
      </c>
      <c r="I935" s="90" t="n">
        <v>6.2</v>
      </c>
    </row>
    <row r="936" ht="17.25" customHeight="1" s="66">
      <c r="A936" s="65" t="inlineStr">
        <is>
          <t>523311</t>
        </is>
      </c>
      <c r="B936" s="68" t="inlineStr">
        <is>
          <t>도매 및 소매업</t>
        </is>
      </c>
      <c r="C936" s="68" t="inlineStr">
        <is>
          <t>소매업: 자동차 제외</t>
        </is>
      </c>
      <c r="D936" s="68" t="inlineStr">
        <is>
          <t>가구 소매업</t>
        </is>
      </c>
      <c r="E936" s="68" t="inlineStr">
        <is>
          <t>가구 소매업</t>
        </is>
      </c>
      <c r="F936" s="68" t="inlineStr">
        <is>
          <t>◦철제책상, 걸상, 캐비넷 등의 금속제가구</t>
        </is>
      </c>
      <c r="G936" s="90" t="n">
        <v>92</v>
      </c>
      <c r="H936" s="90" t="n">
        <v>0</v>
      </c>
      <c r="I936" s="90" t="n">
        <v>6.1</v>
      </c>
    </row>
    <row r="937" ht="17.25" customHeight="1" s="66">
      <c r="A937" s="65" t="inlineStr">
        <is>
          <t>523312</t>
        </is>
      </c>
      <c r="B937" s="68" t="inlineStr">
        <is>
          <t>도매 및 소매업</t>
        </is>
      </c>
      <c r="C937" s="68" t="inlineStr">
        <is>
          <t>소매업: 자동차 제외</t>
        </is>
      </c>
      <c r="D937" s="68" t="inlineStr">
        <is>
          <t>가구 소매업</t>
        </is>
      </c>
      <c r="E937" s="68" t="inlineStr">
        <is>
          <t>가구 소매업</t>
        </is>
      </c>
      <c r="F937" s="68" t="inlineStr">
        <is>
          <t>◦목재 가구 등 각종 가구를 전문적으로 소매하는 산업활동을 말한다.
&lt;예 시&gt;
·등 가구 소매
·화장대 소매
·책상 및 걸상 소매
·침대 소매
·응접 세트 소매
·사무용 가구 소매
&lt;제 외&gt;
*금속제가구(→523311)
*가구 전문 판매 대리점(성실신고 회원)(→523314)
*싱크대(→523331)</t>
        </is>
      </c>
      <c r="G937" s="90" t="n">
        <v>89.5</v>
      </c>
      <c r="H937" s="90" t="n">
        <v>0</v>
      </c>
      <c r="I937" s="90" t="n">
        <v>4.4</v>
      </c>
    </row>
    <row r="938" ht="17.25" customHeight="1" s="66">
      <c r="A938" s="65" t="inlineStr">
        <is>
          <t>523314</t>
        </is>
      </c>
      <c r="B938" s="68" t="inlineStr">
        <is>
          <t>도매 및 소매업</t>
        </is>
      </c>
      <c r="C938" s="68" t="inlineStr">
        <is>
          <t>소매업: 자동차 제외</t>
        </is>
      </c>
      <c r="D938" s="68" t="inlineStr">
        <is>
          <t>가구 소매업</t>
        </is>
      </c>
      <c r="E938" s="68" t="inlineStr">
        <is>
          <t>가구 소매업</t>
        </is>
      </c>
      <c r="F938" s="68" t="inlineStr">
        <is>
          <t>◦가구전문 제조업체와의 판매대리점 계약에 따라 해당 제조업체의 가구만을 소매하는 업소로서 성실신고회원조합에 가입한 사업자</t>
        </is>
      </c>
      <c r="G938" s="90" t="n">
        <v>89.2</v>
      </c>
      <c r="H938" s="90" t="n">
        <v>0</v>
      </c>
      <c r="I938" s="90" t="n">
        <v>3.2</v>
      </c>
    </row>
    <row r="939" ht="17.25" customHeight="1" s="66">
      <c r="A939" s="65" t="inlineStr">
        <is>
          <t>523321</t>
        </is>
      </c>
      <c r="B939" s="68" t="inlineStr">
        <is>
          <t>도매 및 소매업</t>
        </is>
      </c>
      <c r="C939" s="68" t="inlineStr">
        <is>
          <t>소매업: 자동차 제외</t>
        </is>
      </c>
      <c r="D939" s="68" t="inlineStr">
        <is>
          <t>가전제품 소매업</t>
        </is>
      </c>
      <c r="E939" s="68" t="inlineStr">
        <is>
          <t>가전제품 소매업</t>
        </is>
      </c>
      <c r="F939" s="68" t="inlineStr">
        <is>
          <t>◦영상 기기, 음향 기기, 전열 기기 등 가정용 전기 기기 및 비전기식 조리 기기를 소매하는 산업활동을 말한다.
&lt;예 시&gt;
·안테나(위성 포함) 소매
·믹서, 녹즙기, 토스트기 소매
·노래방 기기 소매
·전기 면도기, 헤어 드라이기 소매
·가스 누설 경보기 소매
·환풍기 소매
·전자 레인지 소매
·전기식 이·미용 기기 소매
·가정용 정미기 소매
·VTR카메라 소매
&lt;제 외&gt;
·보일러 소매(523412)
·전화기 소매(523323)
*가스 레인지 소매(→523330)
*전기식 정수기(→523390)</t>
        </is>
      </c>
      <c r="G939" s="90" t="n">
        <v>92.8</v>
      </c>
      <c r="H939" s="90" t="n">
        <v>0</v>
      </c>
      <c r="I939" s="90" t="n">
        <v>5.6</v>
      </c>
    </row>
    <row r="940" ht="17.25" customHeight="1" s="66">
      <c r="A940" s="65" t="inlineStr">
        <is>
          <t>523323</t>
        </is>
      </c>
      <c r="B940" s="68" t="inlineStr">
        <is>
          <t>도매 및 소매업</t>
        </is>
      </c>
      <c r="C940" s="68" t="inlineStr">
        <is>
          <t>소매업: 자동차 제외</t>
        </is>
      </c>
      <c r="D940" s="68" t="inlineStr">
        <is>
          <t>컴퓨터 및 주변장치, 소프트웨어 및 통신기기 소매업</t>
        </is>
      </c>
      <c r="E940" s="68" t="inlineStr">
        <is>
          <t>통신기기 소매업</t>
        </is>
      </c>
      <c r="F940" s="68" t="inlineStr">
        <is>
          <t>◦통신용 기기를 소매하는 산업활동을 말한다.
&lt;예 시&gt;
·핸드폰 소매
·전화기 소매
·호출기 소매
·카폰 소매
·무전기 소매
·기타 통신기기 소매</t>
        </is>
      </c>
      <c r="G940" s="90" t="n">
        <v>86.7</v>
      </c>
      <c r="H940" s="90" t="n">
        <v>0</v>
      </c>
      <c r="I940" s="90" t="n">
        <v>18.9</v>
      </c>
    </row>
    <row r="941" ht="17.25" customHeight="1" s="66">
      <c r="A941" s="65" t="inlineStr">
        <is>
          <t>523330</t>
        </is>
      </c>
      <c r="B941" s="68" t="inlineStr">
        <is>
          <t>도매 및 소매업</t>
        </is>
      </c>
      <c r="C941" s="68" t="inlineStr">
        <is>
          <t>소매업: 자동차 제외</t>
        </is>
      </c>
      <c r="D941" s="68" t="inlineStr">
        <is>
          <t>가전제품 소매업</t>
        </is>
      </c>
      <c r="E941" s="68" t="inlineStr">
        <is>
          <t>가전제품 소매업</t>
        </is>
      </c>
      <c r="F941" s="68" t="inlineStr">
        <is>
          <t>◦가스레인지</t>
        </is>
      </c>
      <c r="G941" s="90" t="n">
        <v>90.09999999999999</v>
      </c>
      <c r="H941" s="90" t="n">
        <v>0</v>
      </c>
      <c r="I941" s="90" t="n">
        <v>3.3</v>
      </c>
    </row>
    <row r="942" ht="17.25" customHeight="1" s="66">
      <c r="A942" s="65" t="inlineStr">
        <is>
          <t>523331</t>
        </is>
      </c>
      <c r="B942" s="68" t="inlineStr">
        <is>
          <t>도매 및 소매업</t>
        </is>
      </c>
      <c r="C942" s="68" t="inlineStr">
        <is>
          <t>소매업: 자동차 제외</t>
        </is>
      </c>
      <c r="D942" s="68" t="inlineStr">
        <is>
          <t>가구 소매업</t>
        </is>
      </c>
      <c r="E942" s="68" t="inlineStr">
        <is>
          <t>가구 소매업</t>
        </is>
      </c>
      <c r="F942" s="68" t="inlineStr">
        <is>
          <t>◦싱크대
&lt;예 시&gt;
·조리대, 싱크대(개수대)</t>
        </is>
      </c>
      <c r="G942" s="90" t="n">
        <v>90.59999999999999</v>
      </c>
      <c r="H942" s="90" t="n">
        <v>0</v>
      </c>
      <c r="I942" s="90" t="n">
        <v>4.1</v>
      </c>
    </row>
    <row r="943" ht="17.25" customHeight="1" s="66">
      <c r="A943" s="65" t="inlineStr">
        <is>
          <t>523332</t>
        </is>
      </c>
      <c r="B943" s="68" t="inlineStr">
        <is>
          <t>도매 및 소매업</t>
        </is>
      </c>
      <c r="C943" s="68" t="inlineStr">
        <is>
          <t>소매업: 자동차 제외</t>
        </is>
      </c>
      <c r="D943" s="68" t="inlineStr">
        <is>
          <t>그 외 기타 가정용품 소매업</t>
        </is>
      </c>
      <c r="E943" s="68" t="inlineStr">
        <is>
          <t>주방용품 및 가정용 유리, 요업제품 소매업</t>
        </is>
      </c>
      <c r="F943" s="68" t="inlineStr">
        <is>
          <t>◦각종 식탁용품, 주방용품과 가정용 요업제품을 소매하는 산업활동을 말한다.
&lt;예 시&gt;
·가정용 식기 소매
·칼 및 도마 소매
·식탁용품 소매
·항아리(옹기) 소매
·밥솥(철재, 비전기식) 소매
·가정용 도자기제품 소매
·비전기식 면도기 소매
&lt;제 외&gt;
·가전제품 소매(523321)
·장식용 도자기 제품 소매(523951)
·그림, 사진 등을 포함한 액자 소매(523961)
*가정용 유리제품(→523422)</t>
        </is>
      </c>
      <c r="G943" s="90" t="n">
        <v>90.59999999999999</v>
      </c>
      <c r="H943" s="90" t="n">
        <v>0</v>
      </c>
      <c r="I943" s="90" t="n">
        <v>3.9</v>
      </c>
    </row>
    <row r="944" ht="17.25" customHeight="1" s="66">
      <c r="A944" s="65" t="inlineStr">
        <is>
          <t>523341</t>
        </is>
      </c>
      <c r="B944" s="68" t="inlineStr">
        <is>
          <t>도매 및 소매업</t>
        </is>
      </c>
      <c r="C944" s="68" t="inlineStr">
        <is>
          <t>소매업: 자동차 제외</t>
        </is>
      </c>
      <c r="D944" s="68" t="inlineStr">
        <is>
          <t>그 외 기타 가정용품 소매업</t>
        </is>
      </c>
      <c r="E944" s="68" t="inlineStr">
        <is>
          <t>악기 소매업</t>
        </is>
      </c>
      <c r="F944" s="68" t="inlineStr">
        <is>
          <t>◦피아노</t>
        </is>
      </c>
      <c r="G944" s="90" t="n">
        <v>90.2</v>
      </c>
      <c r="H944" s="90" t="n">
        <v>0</v>
      </c>
      <c r="I944" s="90" t="n">
        <v>2.1</v>
      </c>
    </row>
    <row r="945" ht="17.25" customHeight="1" s="66">
      <c r="A945" s="65" t="inlineStr">
        <is>
          <t>523349</t>
        </is>
      </c>
      <c r="B945" s="68" t="inlineStr">
        <is>
          <t>도매 및 소매업</t>
        </is>
      </c>
      <c r="C945" s="68" t="inlineStr">
        <is>
          <t>소매업: 자동차 제외</t>
        </is>
      </c>
      <c r="D945" s="68" t="inlineStr">
        <is>
          <t>그 외 기타 가정용품 소매업</t>
        </is>
      </c>
      <c r="E945" s="68" t="inlineStr">
        <is>
          <t>악기 소매업</t>
        </is>
      </c>
      <c r="F945" s="68" t="inlineStr">
        <is>
          <t>◦현악기, 타악기, 관악기 및 전통 악기 등 각종 악기를 소매하는 산업활동을 말한다.
&lt;예 시&gt;
·타악기(드럼, 팀파니 등) 소매
·전통악기(북, 장구 등) 소매
·현악기(바이올린 등) 소매
·관악기(플루트, 트럼펫 등) 소매
·전자악기(전자 기타 등) 소매
&lt;제 외&gt;
·음반 및 비디오 테이프 소매(523980)
*건반악기(피아노 등) 소매(→523341)</t>
        </is>
      </c>
      <c r="G945" s="90" t="n">
        <v>89.59999999999999</v>
      </c>
      <c r="H945" s="90" t="n">
        <v>0</v>
      </c>
      <c r="I945" s="90" t="n">
        <v>4.2</v>
      </c>
    </row>
    <row r="946" ht="17.25" customHeight="1" s="66">
      <c r="A946" s="65" t="inlineStr">
        <is>
          <t>523352</t>
        </is>
      </c>
      <c r="B946" s="68" t="inlineStr">
        <is>
          <t>도매 및 소매업</t>
        </is>
      </c>
      <c r="C946" s="68" t="inlineStr">
        <is>
          <t>소매업: 자동차 제외</t>
        </is>
      </c>
      <c r="D946" s="68" t="inlineStr">
        <is>
          <t>그 외 기타 가정용품 소매업</t>
        </is>
      </c>
      <c r="E946" s="68" t="inlineStr">
        <is>
          <t>전기용품 및 조명장치 소매업</t>
        </is>
      </c>
      <c r="F946" s="68" t="inlineStr">
        <is>
          <t>◦전기용품, 옥내 배선 및 조명장치 등 각종 조명 및 전기장치를 소매하는 산업활동을 말한다.
&lt;예 시&gt;
·변압기(가정용) 소매
·전구 및 램프 소매
·콘센트 소매
·플러그 소매
·전기 스탠드 소매
·스위치 소매</t>
        </is>
      </c>
      <c r="G946" s="90" t="n">
        <v>88.7</v>
      </c>
      <c r="H946" s="90" t="n">
        <v>0</v>
      </c>
      <c r="I946" s="90" t="n">
        <v>6.2</v>
      </c>
    </row>
    <row r="947" ht="17.25" customHeight="1" s="66">
      <c r="A947" s="65" t="inlineStr">
        <is>
          <t>523361</t>
        </is>
      </c>
      <c r="B947" s="68" t="inlineStr">
        <is>
          <t>도매 및 소매업</t>
        </is>
      </c>
      <c r="C947" s="68" t="inlineStr">
        <is>
          <t>소매업: 자동차 제외</t>
        </is>
      </c>
      <c r="D947" s="68" t="inlineStr">
        <is>
          <t>섬유, 직물 및 의복 액세서리 소매업</t>
        </is>
      </c>
      <c r="E947" s="68" t="inlineStr">
        <is>
          <t>가정용 직물제품 소매업</t>
        </is>
      </c>
      <c r="F947" s="68" t="inlineStr">
        <is>
          <t>◦커튼 및 천막
◦카페트
 ·융단 등 카페트, 양탄자류</t>
        </is>
      </c>
      <c r="G947" s="90" t="n">
        <v>87.5</v>
      </c>
      <c r="H947" s="90" t="n">
        <v>0</v>
      </c>
      <c r="I947" s="90" t="n">
        <v>6.2</v>
      </c>
    </row>
    <row r="948" ht="17.25" customHeight="1" s="66">
      <c r="A948" s="65" t="inlineStr">
        <is>
          <t>523363</t>
        </is>
      </c>
      <c r="B948" s="68" t="inlineStr">
        <is>
          <t>도매 및 소매업</t>
        </is>
      </c>
      <c r="C948" s="68" t="inlineStr">
        <is>
          <t>소매업: 자동차 제외</t>
        </is>
      </c>
      <c r="D948" s="68" t="inlineStr">
        <is>
          <t>섬유, 직물 및 의복 액세서리 소매업</t>
        </is>
      </c>
      <c r="E948" s="68" t="inlineStr">
        <is>
          <t>가정용 직물제품 소매업</t>
        </is>
      </c>
      <c r="F948" s="68" t="inlineStr">
        <is>
          <t>◦가정용 직물제품을 소매하는 산업활동을 말한다.
&lt;예 시&gt;
·가정용 침구류 소매(베게, 이불)
·수건, 타월 소매
·수예품 소매
·린넨 소매
·방석 소매
&lt;제 외&gt;
*커튼 및 천막, 카페트 소매(→523361)</t>
        </is>
      </c>
      <c r="G948" s="90" t="n">
        <v>90.09999999999999</v>
      </c>
      <c r="H948" s="90" t="n">
        <v>0</v>
      </c>
      <c r="I948" s="90" t="n">
        <v>4.4</v>
      </c>
    </row>
    <row r="949" ht="17.25" customHeight="1" s="66">
      <c r="A949" s="65" t="inlineStr">
        <is>
          <t>523370</t>
        </is>
      </c>
      <c r="B949" s="68" t="inlineStr">
        <is>
          <t>도매 및 소매업</t>
        </is>
      </c>
      <c r="C949" s="68" t="inlineStr">
        <is>
          <t>소매업: 자동차 제외</t>
        </is>
      </c>
      <c r="D949" s="68" t="inlineStr">
        <is>
          <t>그 외 기타 가정용품 소매업</t>
        </is>
      </c>
      <c r="E949" s="68" t="inlineStr">
        <is>
          <t>그 외 기타 분류 안된 가정용품 소매업</t>
        </is>
      </c>
      <c r="F949" s="68" t="inlineStr">
        <is>
          <t>◦고공품 및 돗자리
·가마니, 새끼 등 고공품, 돗자리 등 자리제품
◦각종 등 세공품, 조물제품 및 기타 목제품
◦죽세공품</t>
        </is>
      </c>
      <c r="G949" s="90" t="n">
        <v>90.59999999999999</v>
      </c>
      <c r="H949" s="90" t="n">
        <v>0</v>
      </c>
      <c r="I949" s="90" t="n">
        <v>4.4</v>
      </c>
    </row>
    <row r="950" ht="17.25" customHeight="1" s="66">
      <c r="A950" s="65" t="inlineStr">
        <is>
          <t>523390</t>
        </is>
      </c>
      <c r="B950" s="68" t="inlineStr">
        <is>
          <t>도매 및 소매업</t>
        </is>
      </c>
      <c r="C950" s="68" t="inlineStr">
        <is>
          <t>소매업: 자동차 제외</t>
        </is>
      </c>
      <c r="D950" s="68" t="inlineStr">
        <is>
          <t>가전제품 소매업</t>
        </is>
      </c>
      <c r="E950" s="68" t="inlineStr">
        <is>
          <t>가전제품 소매업</t>
        </is>
      </c>
      <c r="F950" s="68" t="inlineStr">
        <is>
          <t>◦전기식 정수기</t>
        </is>
      </c>
      <c r="G950" s="90" t="n">
        <v>89.3</v>
      </c>
      <c r="H950" s="90" t="n">
        <v>0</v>
      </c>
      <c r="I950" s="90" t="n">
        <v>8.4</v>
      </c>
    </row>
    <row r="951" ht="17.25" customHeight="1" s="66">
      <c r="A951" s="65" t="inlineStr">
        <is>
          <t>523391</t>
        </is>
      </c>
      <c r="B951" s="68" t="inlineStr">
        <is>
          <t>도매 및 소매업</t>
        </is>
      </c>
      <c r="C951" s="68" t="inlineStr">
        <is>
          <t>소매업: 자동차 제외</t>
        </is>
      </c>
      <c r="D951" s="68" t="inlineStr">
        <is>
          <t>그 외 기타 가정용품 소매업</t>
        </is>
      </c>
      <c r="E951" s="68" t="inlineStr">
        <is>
          <t>그 외 기타 분류 안된 가정용품 소매업</t>
        </is>
      </c>
      <c r="F951" s="68" t="inlineStr">
        <is>
          <t>◦기타 가정용 기기 및 용품 등을 소매하는 산업활동을 말한다.
&lt;예 시&gt;
·비닐백 및 쇼핑백 소매
&lt;제 외&gt;
·가스 스토브, 가스 및 기름 보일러 소매(523412)
·화문석 소매(523910)
*쓰레기봉투(→522081)
*고공품 및 돗자리, 각종 등 세공품, 조물제품 및 기타 목제품, 죽세공품(→523370)
*우산, 양산 소매(→523981)
*이 · 미용기구(→523982)</t>
        </is>
      </c>
      <c r="G951" s="90" t="n">
        <v>89.3</v>
      </c>
      <c r="H951" s="90" t="n">
        <v>0</v>
      </c>
      <c r="I951" s="90" t="n">
        <v>5.8</v>
      </c>
    </row>
    <row r="952" ht="17.25" customHeight="1" s="66">
      <c r="A952" s="65" t="inlineStr">
        <is>
          <t>523411</t>
        </is>
      </c>
      <c r="B952" s="68" t="inlineStr">
        <is>
          <t>도매 및 소매업</t>
        </is>
      </c>
      <c r="C952" s="68" t="inlineStr">
        <is>
          <t>소매업: 자동차 제외</t>
        </is>
      </c>
      <c r="D952" s="68" t="inlineStr">
        <is>
          <t>철물, 공구, 창호 및 건설자재 소매업</t>
        </is>
      </c>
      <c r="E952" s="68" t="inlineStr">
        <is>
          <t>철물 및 난방용구 소매업</t>
        </is>
      </c>
      <c r="F952" s="68" t="inlineStr">
        <is>
          <t>◦일반 철물을 소매하는 산업활동을 말한다.
&lt;예 시&gt;
·앵글 소매
·열쇠 소매
&lt;제 외&gt;
·수공구, 전동공구 소매(524001)
*비전기식의 난방용 기기 소매(→523412)</t>
        </is>
      </c>
      <c r="G952" s="90" t="n">
        <v>90.09999999999999</v>
      </c>
      <c r="H952" s="90" t="n">
        <v>0</v>
      </c>
      <c r="I952" s="90" t="n">
        <v>3.5</v>
      </c>
    </row>
    <row r="953" ht="17.25" customHeight="1" s="66">
      <c r="A953" s="65" t="inlineStr">
        <is>
          <t>523412</t>
        </is>
      </c>
      <c r="B953" s="68" t="inlineStr">
        <is>
          <t>도매 및 소매업</t>
        </is>
      </c>
      <c r="C953" s="68" t="inlineStr">
        <is>
          <t>소매업: 자동차 제외</t>
        </is>
      </c>
      <c r="D953" s="68" t="inlineStr">
        <is>
          <t>철물, 공구, 창호 및 건설자재 소매업</t>
        </is>
      </c>
      <c r="E953" s="68" t="inlineStr">
        <is>
          <t>철물 및 난방용구 소매업</t>
        </is>
      </c>
      <c r="F953" s="68" t="inlineStr">
        <is>
          <t>◦비전기식의 난방용 기기를 소매하는 산업활동을 말한다.
&lt;예 시&gt;
·가스 및 기름 보일러 소매
·가스 및 휘발유 스토브 소매
·석유 난로 소매
&lt;제 외&gt;
*일반 철물 소매(→523411)</t>
        </is>
      </c>
      <c r="G953" s="90" t="n">
        <v>89.3</v>
      </c>
      <c r="H953" s="90" t="n">
        <v>0</v>
      </c>
      <c r="I953" s="90" t="n">
        <v>4.8</v>
      </c>
    </row>
    <row r="954" ht="17.25" customHeight="1" s="66">
      <c r="A954" s="65" t="inlineStr">
        <is>
          <t>523413</t>
        </is>
      </c>
      <c r="B954" s="68" t="inlineStr">
        <is>
          <t>도매 및 소매업</t>
        </is>
      </c>
      <c r="C954" s="68" t="inlineStr">
        <is>
          <t>소매업: 자동차 제외</t>
        </is>
      </c>
      <c r="D954" s="68" t="inlineStr">
        <is>
          <t>철물, 공구, 창호 및 건설자재 소매업</t>
        </is>
      </c>
      <c r="E954" s="68" t="inlineStr">
        <is>
          <t>공구 소매업</t>
        </is>
      </c>
      <c r="F954" s="68" t="inlineStr">
        <is>
          <t>◦농업용 기계공구
◦농업용 수공구(삽, 괭이, 호미, 낫 등)</t>
        </is>
      </c>
      <c r="G954" s="90" t="n">
        <v>95.09999999999999</v>
      </c>
      <c r="H954" s="90" t="n">
        <v>0</v>
      </c>
      <c r="I954" s="90" t="n">
        <v>4</v>
      </c>
    </row>
    <row r="955" ht="17.25" customHeight="1" s="66">
      <c r="A955" s="65" t="inlineStr">
        <is>
          <t>523421</t>
        </is>
      </c>
      <c r="B955" s="68" t="inlineStr">
        <is>
          <t>도매 및 소매업</t>
        </is>
      </c>
      <c r="C955" s="68" t="inlineStr">
        <is>
          <t>소매업: 자동차 제외</t>
        </is>
      </c>
      <c r="D955" s="68" t="inlineStr">
        <is>
          <t>철물, 공구, 창호 및 건설자재 소매업</t>
        </is>
      </c>
      <c r="E955" s="68" t="inlineStr">
        <is>
          <t>페인트, 창호 및 기타 건설자재 소매업</t>
        </is>
      </c>
      <c r="F955" s="68" t="inlineStr">
        <is>
          <t>◦도료
&lt;예 시&gt;
·유성 및 수성페인트, 바니쉬, 래커, 형광도료 등 각종 도료</t>
        </is>
      </c>
      <c r="G955" s="90" t="n">
        <v>86.59999999999999</v>
      </c>
      <c r="H955" s="90" t="n">
        <v>0</v>
      </c>
      <c r="I955" s="90" t="n">
        <v>5.2</v>
      </c>
    </row>
    <row r="956" ht="17.25" customHeight="1" s="66">
      <c r="A956" s="65" t="inlineStr">
        <is>
          <t>523422</t>
        </is>
      </c>
      <c r="B956" s="68" t="inlineStr">
        <is>
          <t>도매 및 소매업</t>
        </is>
      </c>
      <c r="C956" s="68" t="inlineStr">
        <is>
          <t>소매업: 자동차 제외</t>
        </is>
      </c>
      <c r="D956" s="68" t="inlineStr">
        <is>
          <t>그 외 기타 가정용품 소매업</t>
        </is>
      </c>
      <c r="E956" s="68" t="inlineStr">
        <is>
          <t>주방용품 및 가정용 유리, 요업제품 소매업</t>
        </is>
      </c>
      <c r="F956" s="68" t="inlineStr">
        <is>
          <t>◦가정용 유리제품
&lt;예 시&gt;
·유리
·유리제품</t>
        </is>
      </c>
      <c r="G956" s="90" t="n">
        <v>89.09999999999999</v>
      </c>
      <c r="H956" s="90" t="n">
        <v>0</v>
      </c>
      <c r="I956" s="90" t="n">
        <v>8.5</v>
      </c>
    </row>
    <row r="957" ht="17.25" customHeight="1" s="66">
      <c r="A957" s="65" t="inlineStr">
        <is>
          <t>523491</t>
        </is>
      </c>
      <c r="B957" s="68" t="inlineStr">
        <is>
          <t>도매 및 소매업</t>
        </is>
      </c>
      <c r="C957" s="68" t="inlineStr">
        <is>
          <t>소매업: 자동차 제외</t>
        </is>
      </c>
      <c r="D957" s="68" t="inlineStr">
        <is>
          <t>철물, 공구, 창호 및 건설자재 소매업</t>
        </is>
      </c>
      <c r="E957" s="68" t="inlineStr">
        <is>
          <t>페인트, 창호 및 기타 건설자재 소매업</t>
        </is>
      </c>
      <c r="F957" s="68" t="inlineStr">
        <is>
          <t>◦시멘트</t>
        </is>
      </c>
      <c r="G957" s="90" t="n">
        <v>91.90000000000001</v>
      </c>
      <c r="H957" s="90" t="n">
        <v>0</v>
      </c>
      <c r="I957" s="90" t="n">
        <v>6.1</v>
      </c>
    </row>
    <row r="958" ht="17.25" customHeight="1" s="66">
      <c r="A958" s="65" t="inlineStr">
        <is>
          <t>523492</t>
        </is>
      </c>
      <c r="B958" s="68" t="inlineStr">
        <is>
          <t>도매 및 소매업</t>
        </is>
      </c>
      <c r="C958" s="68" t="inlineStr">
        <is>
          <t>소매업: 자동차 제외</t>
        </is>
      </c>
      <c r="D958" s="68" t="inlineStr">
        <is>
          <t>철물, 공구, 창호 및 건설자재 소매업</t>
        </is>
      </c>
      <c r="E958" s="68" t="inlineStr">
        <is>
          <t>페인트, 창호 및 기타 건설자재 소매업</t>
        </is>
      </c>
      <c r="F958" s="68" t="inlineStr">
        <is>
          <t xml:space="preserve">◦철근, 각종 타일, 위생용도기 </t>
        </is>
      </c>
      <c r="G958" s="90" t="n">
        <v>88.90000000000001</v>
      </c>
      <c r="H958" s="90" t="n">
        <v>0</v>
      </c>
      <c r="I958" s="90" t="n">
        <v>4.3</v>
      </c>
    </row>
    <row r="959" ht="17.25" customHeight="1" s="66">
      <c r="A959" s="65" t="inlineStr">
        <is>
          <t>523494</t>
        </is>
      </c>
      <c r="B959" s="68" t="inlineStr">
        <is>
          <t>도매 및 소매업</t>
        </is>
      </c>
      <c r="C959" s="68" t="inlineStr">
        <is>
          <t>소매업: 자동차 제외</t>
        </is>
      </c>
      <c r="D959" s="68" t="inlineStr">
        <is>
          <t>철물, 공구, 창호 및 건설자재 소매업</t>
        </is>
      </c>
      <c r="E959" s="68" t="inlineStr">
        <is>
          <t>페인트, 창호 및 기타 건설자재 소매업</t>
        </is>
      </c>
      <c r="F959" s="68" t="inlineStr">
        <is>
          <t>◦하드보드, 목재류
&lt;예 시&gt;
·기타 합판류
·건축용 목재류</t>
        </is>
      </c>
      <c r="G959" s="90" t="n">
        <v>89.59999999999999</v>
      </c>
      <c r="H959" s="90" t="n">
        <v>0</v>
      </c>
      <c r="I959" s="90" t="n">
        <v>3.4</v>
      </c>
    </row>
    <row r="960" ht="17.25" customHeight="1" s="66">
      <c r="A960" s="65" t="inlineStr">
        <is>
          <t>523499</t>
        </is>
      </c>
      <c r="B960" s="68" t="inlineStr">
        <is>
          <t>도매 및 소매업</t>
        </is>
      </c>
      <c r="C960" s="68" t="inlineStr">
        <is>
          <t>소매업: 자동차 제외</t>
        </is>
      </c>
      <c r="D960" s="68" t="inlineStr">
        <is>
          <t>철물, 공구, 창호 및 건설자재 소매업</t>
        </is>
      </c>
      <c r="E960" s="68" t="inlineStr">
        <is>
          <t>페인트, 창호 및 기타 건설자재 소매업</t>
        </is>
      </c>
      <c r="F960" s="68" t="inlineStr">
        <is>
          <t>◦창호 및 기타 건설자재를 일반 소비자(자가 사용자)에게 소매하는 산업활동을 말한다.
&lt;예 시&gt;
·묘석 소매
·물탱크 소매
·벽돌, 대리석 소매
·조립식 건축자재 소매
·창호 및 문 소매
·스티로폼 소매
·단열재 소매
&lt;제 외&gt;
·건설업자를 대상으로 도료, 페인트, 건설자재, 창호를 판매할 경우(해당 건축자재 도매 산업활동으로 분류)
·주방용 유리용기 소매(523422)
*도료(→523421)
*시멘트(→523491)
*철근, 각종 타일, 위생용도기 (→523492)
*하드보드, 목재류(→523494)</t>
        </is>
      </c>
      <c r="G960" s="90" t="n">
        <v>89.09999999999999</v>
      </c>
      <c r="H960" s="90" t="n">
        <v>0</v>
      </c>
      <c r="I960" s="90" t="n">
        <v>7.2</v>
      </c>
    </row>
    <row r="961" ht="17.25" customHeight="1" s="66">
      <c r="A961" s="65" t="inlineStr">
        <is>
          <t>523511</t>
        </is>
      </c>
      <c r="B961" s="68" t="inlineStr">
        <is>
          <t>도매 및 소매업</t>
        </is>
      </c>
      <c r="C961" s="68" t="inlineStr">
        <is>
          <t>소매업: 자동차 제외</t>
        </is>
      </c>
      <c r="D961" s="68" t="inlineStr">
        <is>
          <t>서적 및 문구용품 소매업</t>
        </is>
      </c>
      <c r="E961" s="68" t="inlineStr">
        <is>
          <t>서적, 신문 및 잡지류 소매업</t>
        </is>
      </c>
      <c r="F961" s="68" t="inlineStr">
        <is>
          <t>◦각종 서적, 신문, 잡지 및 각종 인쇄물을 소매하는 산업활동을 말한다.
&lt;예 시&gt;
·서점 및 잡지 소매점
·외국 서적 및 어학 교재 소매
·회화 테이프 소매
·달력(캘린더), 복제 사진 및 연하장 소매
·음반, 비디오물 이외의 출판물을 수록한 전자 매체 소매
&lt;제 외&gt;
·범용성 소프트웨어 소매(523531)
·음반 및 비디오 기록물 소매(523980)
*교구(초·중·고교용)(→523521)</t>
        </is>
      </c>
      <c r="G961" s="90" t="n">
        <v>92.8</v>
      </c>
      <c r="H961" s="90" t="n">
        <v>0</v>
      </c>
      <c r="I961" s="90" t="n">
        <v>6.8</v>
      </c>
    </row>
    <row r="962" ht="17.25" customHeight="1" s="66">
      <c r="A962" s="65" t="inlineStr">
        <is>
          <t>523520</t>
        </is>
      </c>
      <c r="B962" s="68" t="inlineStr">
        <is>
          <t>도매 및 소매업</t>
        </is>
      </c>
      <c r="C962" s="68" t="inlineStr">
        <is>
          <t>소매업: 자동차 제외</t>
        </is>
      </c>
      <c r="D962" s="68" t="inlineStr">
        <is>
          <t>서적 및 문구용품 소매업</t>
        </is>
      </c>
      <c r="E962" s="68" t="inlineStr">
        <is>
          <t>문구용품 및 회화용품 소매업</t>
        </is>
      </c>
      <c r="F962" s="68" t="inlineStr">
        <is>
          <t>◦문구용구, 필기용구와 회화용품을 소매하는 산업활동을 말한다.
&lt;예 시&gt;
·노트, 일기장, 앨범 소매
·물감, 크레용, 붓 소매
·인쇄 용지 또는 필기 용지 소매
·공테이프, 공CD, 공디스켓 소매
·풀, 접착 테이프 소매
&lt;제 외&gt;
*도장(인장류)(→523983)</t>
        </is>
      </c>
      <c r="G962" s="90" t="n">
        <v>90.09999999999999</v>
      </c>
      <c r="H962" s="90" t="n">
        <v>0</v>
      </c>
      <c r="I962" s="90" t="n">
        <v>6.3</v>
      </c>
    </row>
    <row r="963" ht="17.25" customHeight="1" s="66">
      <c r="A963" s="65" t="inlineStr">
        <is>
          <t>523521</t>
        </is>
      </c>
      <c r="B963" s="68" t="inlineStr">
        <is>
          <t>도매 및 소매업</t>
        </is>
      </c>
      <c r="C963" s="68" t="inlineStr">
        <is>
          <t>소매업: 자동차 제외</t>
        </is>
      </c>
      <c r="D963" s="68" t="inlineStr">
        <is>
          <t>서적 및 문구용품 소매업</t>
        </is>
      </c>
      <c r="E963" s="68" t="inlineStr">
        <is>
          <t>서적, 신문 및 잡지류 소매업</t>
        </is>
      </c>
      <c r="F963" s="68" t="inlineStr">
        <is>
          <t>◦교구(초·중·고교용)</t>
        </is>
      </c>
      <c r="G963" s="90" t="n">
        <v>90.09999999999999</v>
      </c>
      <c r="H963" s="90" t="n">
        <v>0</v>
      </c>
      <c r="I963" s="90" t="n">
        <v>3.2</v>
      </c>
    </row>
    <row r="964" ht="17.25" customHeight="1" s="66">
      <c r="A964" s="65" t="inlineStr">
        <is>
          <t>523531</t>
        </is>
      </c>
      <c r="B964" s="68" t="inlineStr">
        <is>
          <t>도매 및 소매업</t>
        </is>
      </c>
      <c r="C964" s="68" t="inlineStr">
        <is>
          <t>소매업: 자동차 제외</t>
        </is>
      </c>
      <c r="D964" s="68" t="inlineStr">
        <is>
          <t>컴퓨터 및 주변장치, 소프트웨어 및 통신기기 소매업</t>
        </is>
      </c>
      <c r="E964" s="68" t="inlineStr">
        <is>
          <t>컴퓨터 및 주변장치, 소프트웨어 소매업</t>
        </is>
      </c>
      <c r="F964" s="68" t="inlineStr">
        <is>
          <t>◦컴퓨터 및 주변 기기류와 범용성 소프트웨어를 소매하는 산업활동을 말한다.
&lt;예 시&gt;
·컴퓨터 소매
·범용성 소프트웨어 소매
·프린트기 소매
·바코드 리더기 소매</t>
        </is>
      </c>
      <c r="G964" s="90" t="n">
        <v>88.2</v>
      </c>
      <c r="H964" s="90" t="n">
        <v>0</v>
      </c>
      <c r="I964" s="90" t="n">
        <v>9.9</v>
      </c>
    </row>
    <row r="965" ht="17.25" customHeight="1" s="66">
      <c r="A965" s="65" t="inlineStr">
        <is>
          <t>523532</t>
        </is>
      </c>
      <c r="B965" s="68" t="inlineStr">
        <is>
          <t>도매 및 소매업</t>
        </is>
      </c>
      <c r="C965" s="68" t="inlineStr">
        <is>
          <t>소매업: 자동차 제외</t>
        </is>
      </c>
      <c r="D965" s="68" t="inlineStr">
        <is>
          <t>사무용 기기, 안경, 사진장비 및 정밀기기 소매업</t>
        </is>
      </c>
      <c r="E965" s="68" t="inlineStr">
        <is>
          <t>사무용 기기 소매업</t>
        </is>
      </c>
      <c r="F965" s="68" t="inlineStr">
        <is>
          <t>◦사무용 기기를 소매하는 산업활동을 말한다.
&lt;예 시&gt;
·계산기 소매
·복사기 소매
·금전 등록기 소매
·팩시밀리 소매
·타자기 소매
&lt;제 외&gt;
·사무용 가구 소매(523312)</t>
        </is>
      </c>
      <c r="G965" s="90" t="n">
        <v>89.40000000000001</v>
      </c>
      <c r="H965" s="90" t="n">
        <v>0</v>
      </c>
      <c r="I965" s="90" t="n">
        <v>10.3</v>
      </c>
    </row>
    <row r="966" ht="17.25" customHeight="1" s="66">
      <c r="A966" s="65" t="inlineStr">
        <is>
          <t>523541</t>
        </is>
      </c>
      <c r="B966" s="68" t="inlineStr">
        <is>
          <t>도매 및 소매업</t>
        </is>
      </c>
      <c r="C966" s="68" t="inlineStr">
        <is>
          <t>소매업: 자동차 제외</t>
        </is>
      </c>
      <c r="D966" s="68" t="inlineStr">
        <is>
          <t>사무용 기기, 안경, 사진장비 및 정밀기기 소매업</t>
        </is>
      </c>
      <c r="E966" s="68" t="inlineStr">
        <is>
          <t>안경 및 렌즈 소매업</t>
        </is>
      </c>
      <c r="F966" s="68" t="inlineStr">
        <is>
          <t>◦콘택트 렌즈, 선글라스를 포함하여 각종 안경 및 렌즈를 소매하는 산업활동을 말한다.</t>
        </is>
      </c>
      <c r="G966" s="90" t="n">
        <v>82</v>
      </c>
      <c r="H966" s="90" t="n">
        <v>0</v>
      </c>
      <c r="I966" s="90" t="n">
        <v>7.7</v>
      </c>
    </row>
    <row r="967" ht="17.25" customHeight="1" s="66">
      <c r="A967" s="65" t="inlineStr">
        <is>
          <t>523550</t>
        </is>
      </c>
      <c r="B967" s="68" t="inlineStr">
        <is>
          <t>도매 및 소매업</t>
        </is>
      </c>
      <c r="C967" s="68" t="inlineStr">
        <is>
          <t>소매업: 자동차 제외</t>
        </is>
      </c>
      <c r="D967" s="68" t="inlineStr">
        <is>
          <t>사무용 기기, 안경, 사진장비 및 정밀기기 소매업</t>
        </is>
      </c>
      <c r="E967" s="68" t="inlineStr">
        <is>
          <t>사진기 및 사진용품 소매업</t>
        </is>
      </c>
      <c r="F967" s="68" t="inlineStr">
        <is>
          <t>◦사진기 및 사진용품을 소매하는 산업활동을 말한다.
&lt;예 시&gt;
·사진기 소매
·사진용 화학 물질 소매
·사진 필름 소매
·사진 장비 소매</t>
        </is>
      </c>
      <c r="G967" s="90" t="n">
        <v>87.2</v>
      </c>
      <c r="H967" s="90" t="n">
        <v>0</v>
      </c>
      <c r="I967" s="90" t="n">
        <v>2</v>
      </c>
    </row>
    <row r="968" ht="17.25" customHeight="1" s="66">
      <c r="A968" s="65" t="inlineStr">
        <is>
          <t>523552</t>
        </is>
      </c>
      <c r="B968" s="68" t="inlineStr">
        <is>
          <t>도매 및 소매업</t>
        </is>
      </c>
      <c r="C968" s="68" t="inlineStr">
        <is>
          <t>소매업: 자동차 제외</t>
        </is>
      </c>
      <c r="D968" s="68" t="inlineStr">
        <is>
          <t>사무용 기기, 안경, 사진장비 및 정밀기기 소매업</t>
        </is>
      </c>
      <c r="E968" s="68" t="inlineStr">
        <is>
          <t>기타 광학 및 정밀 기기 소매업</t>
        </is>
      </c>
      <c r="F968" s="68" t="inlineStr">
        <is>
          <t>◦각종 광학용품 및 정밀 기기를 소매하는 산업활동을 말한다.
&lt;예 시&gt;
·정밀 기기 소매
·현미경 소매
·쌍안경 및 망원경 소매
·영사기 소매
·프리즘 소매
·측량기 소매
&lt;제 외&gt;
·안경 및 렌즈 소매(523541)
·카메라(사진용) 소매(523550)</t>
        </is>
      </c>
      <c r="G968" s="90" t="n">
        <v>87.2</v>
      </c>
      <c r="H968" s="90" t="n">
        <v>0</v>
      </c>
      <c r="I968" s="90" t="n">
        <v>4.6</v>
      </c>
    </row>
    <row r="969" ht="17.25" customHeight="1" s="66">
      <c r="A969" s="65" t="inlineStr">
        <is>
          <t>523611</t>
        </is>
      </c>
      <c r="B969" s="68" t="inlineStr">
        <is>
          <t>도매 및 소매업</t>
        </is>
      </c>
      <c r="C969" s="68" t="inlineStr">
        <is>
          <t>소매업: 자동차 제외</t>
        </is>
      </c>
      <c r="D969" s="68" t="inlineStr">
        <is>
          <t>가정용 연료 소매업</t>
        </is>
      </c>
      <c r="E969" s="68" t="inlineStr">
        <is>
          <t>가정용 고체 연료 소매업</t>
        </is>
      </c>
      <c r="F969" s="68" t="inlineStr">
        <is>
          <t>◦연탄, 연탄배달판매</t>
        </is>
      </c>
      <c r="G969" s="90" t="n">
        <v>97.5</v>
      </c>
      <c r="H969" s="90" t="n">
        <v>0</v>
      </c>
      <c r="I969" s="90" t="n">
        <v>3.1</v>
      </c>
    </row>
    <row r="970" ht="17.25" customHeight="1" s="66">
      <c r="A970" s="65" t="inlineStr">
        <is>
          <t>523612</t>
        </is>
      </c>
      <c r="B970" s="68" t="inlineStr">
        <is>
          <t>도매 및 소매업</t>
        </is>
      </c>
      <c r="C970" s="68" t="inlineStr">
        <is>
          <t>소매업: 자동차 제외</t>
        </is>
      </c>
      <c r="D970" s="68" t="inlineStr">
        <is>
          <t>가정용 연료 소매업</t>
        </is>
      </c>
      <c r="E970" s="68" t="inlineStr">
        <is>
          <t>가정용 고체 연료 소매업</t>
        </is>
      </c>
      <c r="F970" s="68" t="inlineStr">
        <is>
          <t>◦무연탄
◦연탄을 제외한 석탄연료
◦유연탄, 토탄</t>
        </is>
      </c>
      <c r="G970" s="90" t="n">
        <v>96.09999999999999</v>
      </c>
      <c r="H970" s="90" t="n">
        <v>0</v>
      </c>
      <c r="I970" s="90" t="n">
        <v>3</v>
      </c>
    </row>
    <row r="971" ht="17.25" customHeight="1" s="66">
      <c r="A971" s="65" t="inlineStr">
        <is>
          <t>523619</t>
        </is>
      </c>
      <c r="B971" s="68" t="inlineStr">
        <is>
          <t>도매 및 소매업</t>
        </is>
      </c>
      <c r="C971" s="68" t="inlineStr">
        <is>
          <t>소매업: 자동차 제외</t>
        </is>
      </c>
      <c r="D971" s="68" t="inlineStr">
        <is>
          <t>가정용 연료 소매업</t>
        </is>
      </c>
      <c r="E971" s="68" t="inlineStr">
        <is>
          <t>가정용 고체 연료 소매업</t>
        </is>
      </c>
      <c r="F971" s="68" t="inlineStr">
        <is>
          <t>◦기타 고체 연료를 소매하는 산업활동을 말한다.
&lt;예 시&gt;
·착화탄(번개탄) 소매
·화목 및 목탄 소매
&lt;제 외&gt;
*연탄, 연탄배달판매(→523611)
*무연탄, 연탄을 제외한 석탄연료, 유연탄, 토탄 소매(→523612)</t>
        </is>
      </c>
      <c r="G971" s="90" t="n">
        <v>92.8</v>
      </c>
      <c r="H971" s="90" t="n">
        <v>0</v>
      </c>
      <c r="I971" s="90" t="n">
        <v>2.7</v>
      </c>
    </row>
    <row r="972" ht="17.25" customHeight="1" s="66">
      <c r="A972" s="65" t="inlineStr">
        <is>
          <t>523621</t>
        </is>
      </c>
      <c r="B972" s="68" t="inlineStr">
        <is>
          <t>도매 및 소매업</t>
        </is>
      </c>
      <c r="C972" s="68" t="inlineStr">
        <is>
          <t>소매업: 자동차 제외</t>
        </is>
      </c>
      <c r="D972" s="68" t="inlineStr">
        <is>
          <t>가정용 연료 소매업</t>
        </is>
      </c>
      <c r="E972" s="68" t="inlineStr">
        <is>
          <t>가정용 액체 연료 소매업</t>
        </is>
      </c>
      <c r="F972" s="68" t="inlineStr">
        <is>
          <t>◦조명, 난방 및 취사용 유류 및 기타 액체연료를 소매하는 산업활동을 말한다.
&lt;예 시&gt;
·휘발유 소매
·석유 및 등유 소매
·경유 소매
·벙커유 소매
&lt;제 외&gt;
·차량용 액체 연료 소매(505001)</t>
        </is>
      </c>
      <c r="G972" s="90" t="n">
        <v>95.09999999999999</v>
      </c>
      <c r="H972" s="90" t="n">
        <v>0</v>
      </c>
      <c r="I972" s="90" t="n">
        <v>2.1</v>
      </c>
    </row>
    <row r="973" ht="17.25" customHeight="1" s="66">
      <c r="A973" s="65" t="inlineStr">
        <is>
          <t>523630</t>
        </is>
      </c>
      <c r="B973" s="68" t="inlineStr">
        <is>
          <t>도매 및 소매업</t>
        </is>
      </c>
      <c r="C973" s="68" t="inlineStr">
        <is>
          <t>소매업: 자동차 제외</t>
        </is>
      </c>
      <c r="D973" s="68" t="inlineStr">
        <is>
          <t>가정용 연료 소매업</t>
        </is>
      </c>
      <c r="E973" s="68" t="inlineStr">
        <is>
          <t>가정용 가스 연료 소매업</t>
        </is>
      </c>
      <c r="F973" s="68" t="inlineStr">
        <is>
          <t>◦가정 소비용 가스를 직접 충전하여 주거나 용기에 충전된 가정용 가스 연료를 소매하는 산업활동을 말한다.
&lt;예 시&gt;
·부탄 가스 소매
·프로판 가스 소매
·액화 석유 가스(LPG) 소매
·액화 천연 가스(LNG) 소매
&lt;제 외&gt;
·차량용 기체 연료 소매(505002)</t>
        </is>
      </c>
      <c r="G973" s="90" t="n">
        <v>94</v>
      </c>
      <c r="H973" s="90" t="n">
        <v>0</v>
      </c>
      <c r="I973" s="90" t="n">
        <v>5.2</v>
      </c>
    </row>
    <row r="974" ht="17.25" customHeight="1" s="66">
      <c r="A974" s="65" t="inlineStr">
        <is>
          <t>523910</t>
        </is>
      </c>
      <c r="B974" s="68" t="inlineStr">
        <is>
          <t>도매 및 소매업</t>
        </is>
      </c>
      <c r="C974" s="68" t="inlineStr">
        <is>
          <t>소매업: 자동차 제외</t>
        </is>
      </c>
      <c r="D974" s="68" t="inlineStr">
        <is>
          <t>철물, 공구, 창호 및 건설자재 소매업</t>
        </is>
      </c>
      <c r="E974" s="68" t="inlineStr">
        <is>
          <t>벽지, 마루덮개 및 장판류 소매업</t>
        </is>
      </c>
      <c r="F974" s="68" t="inlineStr">
        <is>
          <t>◦각종 벽지, 창호지, 장판지, 바닥재, 마루덮개 등을 소매하는 산업활동을 말한다.
&lt;예 시&gt;
·벽지 소매
·창호지 소매
·마루덮개 소매
·장판지 소매
·화문석 소매
·비닐 장판 및 모노륨 등 바닥재 소매</t>
        </is>
      </c>
      <c r="G974" s="90" t="n">
        <v>89.2</v>
      </c>
      <c r="H974" s="90" t="n">
        <v>0</v>
      </c>
      <c r="I974" s="90" t="n">
        <v>5.5</v>
      </c>
    </row>
    <row r="975" ht="17.25" customHeight="1" s="66">
      <c r="A975" s="65" t="inlineStr">
        <is>
          <t>523921</t>
        </is>
      </c>
      <c r="B975" s="68" t="inlineStr">
        <is>
          <t>도매 및 소매업</t>
        </is>
      </c>
      <c r="C975" s="68" t="inlineStr">
        <is>
          <t>소매업: 자동차 제외</t>
        </is>
      </c>
      <c r="D975" s="68" t="inlineStr">
        <is>
          <t>시계 및 귀금속 소매업</t>
        </is>
      </c>
      <c r="E975" s="68" t="inlineStr">
        <is>
          <t>시계 및 귀금속 소매업</t>
        </is>
      </c>
      <c r="F975" s="68" t="inlineStr">
        <is>
          <t>◦제품화하거나 세공하지 않은 황금</t>
        </is>
      </c>
      <c r="G975" s="90" t="n">
        <v>88.5</v>
      </c>
      <c r="H975" s="90" t="n">
        <v>0</v>
      </c>
      <c r="I975" s="90" t="n">
        <v>5.1</v>
      </c>
    </row>
    <row r="976" ht="17.25" customHeight="1" s="66">
      <c r="A976" s="65" t="inlineStr">
        <is>
          <t>523922</t>
        </is>
      </c>
      <c r="B976" s="68" t="inlineStr">
        <is>
          <t>도매 및 소매업</t>
        </is>
      </c>
      <c r="C976" s="68" t="inlineStr">
        <is>
          <t>소매업: 자동차 제외</t>
        </is>
      </c>
      <c r="D976" s="68" t="inlineStr">
        <is>
          <t>시계 및 귀금속 소매업</t>
        </is>
      </c>
      <c r="E976" s="68" t="inlineStr">
        <is>
          <t>시계 및 귀금속 소매업</t>
        </is>
      </c>
      <c r="F976" s="68" t="inlineStr">
        <is>
          <t>◦귀금속, 귀석 및 준귀석의 장신구를 소매하는 산업활동을 말한다.
&lt;예 시&gt;
·금·은 세공품 소매
·옥제품 소매
·귀금속제 반지·귀걸이 소매
&lt;제 외&gt;
*시계 소매(→523923)
*제품화하거나 세공하지 않은 황금(→523921)</t>
        </is>
      </c>
      <c r="G976" s="90" t="n">
        <v>82.3</v>
      </c>
      <c r="H976" s="90" t="n">
        <v>0</v>
      </c>
      <c r="I976" s="90" t="n">
        <v>3.6</v>
      </c>
    </row>
    <row r="977" ht="17.25" customHeight="1" s="66">
      <c r="A977" s="65" t="inlineStr">
        <is>
          <t>523923</t>
        </is>
      </c>
      <c r="B977" s="68" t="inlineStr">
        <is>
          <t>도매 및 소매업</t>
        </is>
      </c>
      <c r="C977" s="68" t="inlineStr">
        <is>
          <t>소매업: 자동차 제외</t>
        </is>
      </c>
      <c r="D977" s="68" t="inlineStr">
        <is>
          <t>시계 및 귀금속 소매업</t>
        </is>
      </c>
      <c r="E977" s="68" t="inlineStr">
        <is>
          <t>시계 및 귀금속 소매업</t>
        </is>
      </c>
      <c r="F977" s="68" t="inlineStr">
        <is>
          <t>◦시계를 소매하는 산업활동을 말한다.
&lt;예 시&gt;
·시계(손목·벽·탁상시계) 소매
&lt;제 외&gt;
*귀금속, 귀석 및 준귀석의 장신구 소매(→523922)
*제품화하거나 세공하지 않은 황금(→523921)</t>
        </is>
      </c>
      <c r="G977" s="90" t="n">
        <v>86.5</v>
      </c>
      <c r="H977" s="90" t="n">
        <v>0</v>
      </c>
      <c r="I977" s="90" t="n">
        <v>4.1</v>
      </c>
    </row>
    <row r="978" ht="17.25" customHeight="1" s="66">
      <c r="A978" s="65" t="inlineStr">
        <is>
          <t>523931</t>
        </is>
      </c>
      <c r="B978" s="68" t="inlineStr">
        <is>
          <t>도매 및 소매업</t>
        </is>
      </c>
      <c r="C978" s="68" t="inlineStr">
        <is>
          <t>소매업: 자동차 제외</t>
        </is>
      </c>
      <c r="D978" s="68" t="inlineStr">
        <is>
          <t>운동용품 및 자전거 소매업</t>
        </is>
      </c>
      <c r="E978" s="68" t="inlineStr">
        <is>
          <t>운동 및 경기용품 소매업</t>
        </is>
      </c>
      <c r="F978" s="68" t="inlineStr">
        <is>
          <t>◦골프장비
&lt;예 시&gt;
·가정용골프네트</t>
        </is>
      </c>
      <c r="G978" s="90" t="n">
        <v>88.90000000000001</v>
      </c>
      <c r="H978" s="90" t="n">
        <v>0</v>
      </c>
      <c r="I978" s="90" t="n">
        <v>5.1</v>
      </c>
    </row>
    <row r="979" ht="17.25" customHeight="1" s="66">
      <c r="A979" s="65" t="inlineStr">
        <is>
          <t>523932</t>
        </is>
      </c>
      <c r="B979" s="68" t="inlineStr">
        <is>
          <t>도매 및 소매업</t>
        </is>
      </c>
      <c r="C979" s="68" t="inlineStr">
        <is>
          <t>소매업: 자동차 제외</t>
        </is>
      </c>
      <c r="D979" s="68" t="inlineStr">
        <is>
          <t>운동용품 및 자전거 소매업</t>
        </is>
      </c>
      <c r="E979" s="68" t="inlineStr">
        <is>
          <t>운동 및 경기용품 소매업</t>
        </is>
      </c>
      <c r="F979" s="68" t="inlineStr">
        <is>
          <t>◦운동, 스포츠 및 경기용품을 소매하는 산업활동을 말한다.
&lt;예 시&gt;
·등산 장비(텐트, 등산화 포함) 소매
·펜싱, 검도 장비 소매
·헬스 기구 소매
·코트 및 필드경기 장비 소매
&lt;제 외&gt;
·낚시장비 소매(523940)
*골프장비(→523931)</t>
        </is>
      </c>
      <c r="G979" s="90" t="n">
        <v>89.7</v>
      </c>
      <c r="H979" s="90" t="n">
        <v>0</v>
      </c>
      <c r="I979" s="90" t="n">
        <v>5.5</v>
      </c>
    </row>
    <row r="980" ht="17.25" customHeight="1" s="66">
      <c r="A980" s="65" t="inlineStr">
        <is>
          <t>523935</t>
        </is>
      </c>
      <c r="B980" s="68" t="inlineStr">
        <is>
          <t>도매 및 소매업</t>
        </is>
      </c>
      <c r="C980" s="68" t="inlineStr">
        <is>
          <t>소매업: 자동차 제외</t>
        </is>
      </c>
      <c r="D980" s="68" t="inlineStr">
        <is>
          <t>의복 소매업</t>
        </is>
      </c>
      <c r="E980" s="68" t="inlineStr">
        <is>
          <t>기타 의복 소매업</t>
        </is>
      </c>
      <c r="F980" s="68" t="inlineStr">
        <is>
          <t>◦등산용의류</t>
        </is>
      </c>
      <c r="G980" s="90" t="n">
        <v>89.7</v>
      </c>
      <c r="H980" s="90" t="n">
        <v>0</v>
      </c>
      <c r="I980" s="90" t="n">
        <v>2.1</v>
      </c>
    </row>
    <row r="981">
      <c r="A981" s="65" t="inlineStr">
        <is>
          <t>523936</t>
        </is>
      </c>
      <c r="B981" s="68" t="inlineStr">
        <is>
          <t>도매 및 소매업</t>
        </is>
      </c>
      <c r="C981" s="68" t="inlineStr">
        <is>
          <t>소매업: 자동차 제외</t>
        </is>
      </c>
      <c r="D981" s="68" t="inlineStr">
        <is>
          <t>의복 소매업</t>
        </is>
      </c>
      <c r="E981" s="68" t="inlineStr">
        <is>
          <t>기타 의복 소매업</t>
        </is>
      </c>
      <c r="F981" s="68" t="inlineStr">
        <is>
          <t>◦스포츠의류</t>
        </is>
      </c>
      <c r="G981" s="90" t="n">
        <v>89.7</v>
      </c>
      <c r="H981" s="90" t="n">
        <v>0</v>
      </c>
      <c r="I981" s="90" t="n">
        <v>5.3</v>
      </c>
    </row>
    <row r="982">
      <c r="A982" s="65" t="inlineStr">
        <is>
          <t>523940</t>
        </is>
      </c>
      <c r="B982" s="68" t="inlineStr">
        <is>
          <t>도매 및 소매업</t>
        </is>
      </c>
      <c r="C982" s="68" t="inlineStr">
        <is>
          <t>소매업: 자동차 제외</t>
        </is>
      </c>
      <c r="D982" s="68" t="inlineStr">
        <is>
          <t>게임용구, 인형 및 장난감 소매업</t>
        </is>
      </c>
      <c r="E982" s="68" t="inlineStr">
        <is>
          <t>게임용구, 인형 및 장난감 소매업</t>
        </is>
      </c>
      <c r="F982" s="68" t="inlineStr">
        <is>
          <t>◦오락용 게임용구 및 장비와 각종 재료의 인형 및 장난감을 소매하는 산업활동을 말한다.
&lt;예 시&gt;
·낚시장비 소매
·게임기 및 게임팩(game pack) 소매
·당구장비 소매
·바둑용구 소매
·화투, 트럼프 소매
·조립 완구 소매
·어망소매</t>
        </is>
      </c>
      <c r="G982" s="90" t="n">
        <v>90.09999999999999</v>
      </c>
      <c r="H982" s="90" t="n">
        <v>0</v>
      </c>
      <c r="I982" s="90" t="n">
        <v>6.2</v>
      </c>
    </row>
    <row r="983">
      <c r="A983" s="65" t="inlineStr">
        <is>
          <t>523951</t>
        </is>
      </c>
      <c r="B983" s="68" t="inlineStr">
        <is>
          <t>도매 및 소매업</t>
        </is>
      </c>
      <c r="C983" s="68" t="inlineStr">
        <is>
          <t>소매업: 자동차 제외</t>
        </is>
      </c>
      <c r="D983" s="68" t="inlineStr">
        <is>
          <t>예술품, 기념품 및 장식용품 소매업</t>
        </is>
      </c>
      <c r="E983" s="68" t="inlineStr">
        <is>
          <t>예술품 및 골동품 소매업</t>
        </is>
      </c>
      <c r="F983" s="68" t="inlineStr">
        <is>
          <t>◦미술품, 공예품, 예술품 등 각종 창작 예술품을 소매하는 산업활동을 말한다. 가정용으로 사용되는 도자기 등과 같이 예술적 성격을 가지지 않는 상품은 제외한다.
&lt;예 시&gt;
·조각품 소매
·장식용 도자기 소매
·목조 공예품 소매
·고려청자, 이조백자 등 소매
·조각품 소매
·고서적 소매(일반 중고 서적 제외)
&lt;제 외&gt;
*화랑에서의 창작성 예술품, 화랑대관수입 포함(→523952)</t>
        </is>
      </c>
      <c r="G983" s="90" t="n">
        <v>86.7</v>
      </c>
      <c r="H983" s="90" t="n">
        <v>0</v>
      </c>
      <c r="I983" s="90" t="n">
        <v>9.1</v>
      </c>
    </row>
    <row r="984">
      <c r="A984" s="65" t="inlineStr">
        <is>
          <t>523952</t>
        </is>
      </c>
      <c r="B984" s="68" t="inlineStr">
        <is>
          <t>도매 및 소매업</t>
        </is>
      </c>
      <c r="C984" s="68" t="inlineStr">
        <is>
          <t>소매업: 자동차 제외</t>
        </is>
      </c>
      <c r="D984" s="68" t="inlineStr">
        <is>
          <t>예술품, 기념품 및 장식용품 소매업</t>
        </is>
      </c>
      <c r="E984" s="68" t="inlineStr">
        <is>
          <t>예술품 및 골동품 소매업</t>
        </is>
      </c>
      <c r="F984" s="68" t="inlineStr">
        <is>
          <t>◦화랑
·화랑에서의 창작성 예술품
·화랑대관수입 포함
·화랑임대, 개인화랑, 갤러리경영업</t>
        </is>
      </c>
      <c r="G984" s="90" t="n">
        <v>87.59999999999999</v>
      </c>
      <c r="H984" s="90" t="n">
        <v>0</v>
      </c>
      <c r="I984" s="90" t="n">
        <v>9.800000000000001</v>
      </c>
    </row>
    <row r="985">
      <c r="A985" s="65" t="inlineStr">
        <is>
          <t>523954</t>
        </is>
      </c>
      <c r="B985" s="68" t="inlineStr">
        <is>
          <t>도매 및 소매업</t>
        </is>
      </c>
      <c r="C985" s="68" t="inlineStr">
        <is>
          <t>소매업: 자동차 제외</t>
        </is>
      </c>
      <c r="D985" s="68" t="inlineStr">
        <is>
          <t>그 외 기타 상품 전문 소매업</t>
        </is>
      </c>
      <c r="E985" s="68" t="inlineStr">
        <is>
          <t>그 외 기타 분류 안된 상품 전문 소매업</t>
        </is>
      </c>
      <c r="F985" s="68" t="inlineStr">
        <is>
          <t>◦수석
&lt;예 시&gt;
·수석가공</t>
        </is>
      </c>
      <c r="G985" s="90" t="n">
        <v>88.90000000000001</v>
      </c>
      <c r="H985" s="90" t="n">
        <v>0</v>
      </c>
      <c r="I985" s="90" t="n">
        <v>6.5</v>
      </c>
    </row>
    <row r="986">
      <c r="A986" s="65" t="inlineStr">
        <is>
          <t>523961</t>
        </is>
      </c>
      <c r="B986" s="68" t="inlineStr">
        <is>
          <t>도매 및 소매업</t>
        </is>
      </c>
      <c r="C986" s="68" t="inlineStr">
        <is>
          <t>소매업: 자동차 제외</t>
        </is>
      </c>
      <c r="D986" s="68" t="inlineStr">
        <is>
          <t>예술품, 기념품 및 장식용품 소매업</t>
        </is>
      </c>
      <c r="E986" s="68" t="inlineStr">
        <is>
          <t>기념품, 관광 민예품 및 장식용품 소매업</t>
        </is>
      </c>
      <c r="F986" s="68" t="inlineStr">
        <is>
          <t>◦각종 기념품, 조화, 관광 민예품 및 장식용품 등을 소매하는 산업활동을 말한다.
&lt;예 시&gt;
·기념품 및 기념 메달 소매
·모조 장식품 소매
·크리스마스 트리 장식품(전구 제외) 소매
·선물가게
·조화 소매
·휘장(귀금속제 제외) 소매
·액자(그림, 사진 등 내장품) 소매
·박제(동물) 소매
·칠기공예품(나전칠기 포함) 소매</t>
        </is>
      </c>
      <c r="G986" s="90" t="n">
        <v>89.90000000000001</v>
      </c>
      <c r="H986" s="90" t="n">
        <v>0</v>
      </c>
      <c r="I986" s="90" t="n">
        <v>9.5</v>
      </c>
    </row>
    <row r="987">
      <c r="A987" s="65" t="inlineStr">
        <is>
          <t>523970</t>
        </is>
      </c>
      <c r="B987" s="68" t="inlineStr">
        <is>
          <t>도매 및 소매업</t>
        </is>
      </c>
      <c r="C987" s="68" t="inlineStr">
        <is>
          <t>소매업: 자동차 제외</t>
        </is>
      </c>
      <c r="D987" s="68" t="inlineStr">
        <is>
          <t>운동용품 및 자전거 소매업</t>
        </is>
      </c>
      <c r="E987" s="68" t="inlineStr">
        <is>
          <t>자전거 및 기타 운송장비 소매업</t>
        </is>
      </c>
      <c r="F987" s="68" t="inlineStr">
        <is>
          <t>◦자전거 등 기타 개인용 운송장비를 소매하는 산업활동을 말한다. 자전거 소매와 수리를 병행하는 경우도 포함한다.
&lt;예 시&gt;
·자전거 및 자전거 부품 소매
·개인용 비동력식 운송장비 소매
·유모차 소매
&lt;제 외&gt;
·자동차 소매(501201,501202) 
·이륜 자동차 소매(504002)</t>
        </is>
      </c>
      <c r="G987" s="90" t="n">
        <v>91.90000000000001</v>
      </c>
      <c r="H987" s="90" t="n">
        <v>0</v>
      </c>
      <c r="I987" s="90" t="n">
        <v>3.3</v>
      </c>
    </row>
    <row r="988">
      <c r="A988" s="65" t="inlineStr">
        <is>
          <t>523980</t>
        </is>
      </c>
      <c r="B988" s="68" t="inlineStr">
        <is>
          <t>도매 및 소매업</t>
        </is>
      </c>
      <c r="C988" s="68" t="inlineStr">
        <is>
          <t>소매업: 자동차 제외</t>
        </is>
      </c>
      <c r="D988" s="68" t="inlineStr">
        <is>
          <t>음반 및 비디오물 소매업</t>
        </is>
      </c>
      <c r="E988" s="68" t="inlineStr">
        <is>
          <t>음반 및 비디오물 소매업</t>
        </is>
      </c>
      <c r="F988" s="68" t="inlineStr">
        <is>
          <t>◦음악 및 영상물을 수록한 테이프, 레코드, CD, DVD 등을 소매하는 산업활동을 말한다.
&lt;예 시&gt;
·음악 테이프 소매
·음악 콤팩트 디스크 소매
·비디오 테이프 소매
·비디오 콤팩트 디스크 소매
&lt;제 외&gt;
·음악, 비디오 이외의 기록 매체 출판물 소매(523511)
·범용성 소프트웨어 소매(523531)
·공테이프, 공CD, 공디스크, 공플로피 디스켓 소매(523520)
·음악 파일 내려 받기(다운로드) 서비스(724000)</t>
        </is>
      </c>
      <c r="G988" s="90" t="n">
        <v>90.09999999999999</v>
      </c>
      <c r="H988" s="90" t="n">
        <v>0</v>
      </c>
      <c r="I988" s="90" t="n">
        <v>1</v>
      </c>
    </row>
    <row r="989">
      <c r="A989" s="65" t="inlineStr">
        <is>
          <t>523981</t>
        </is>
      </c>
      <c r="B989" s="68" t="inlineStr">
        <is>
          <t>도매 및 소매업</t>
        </is>
      </c>
      <c r="C989" s="68" t="inlineStr">
        <is>
          <t>소매업: 자동차 제외</t>
        </is>
      </c>
      <c r="D989" s="68" t="inlineStr">
        <is>
          <t>그 외 기타 가정용품 소매업</t>
        </is>
      </c>
      <c r="E989" s="68" t="inlineStr">
        <is>
          <t>그 외 기타 분류 안된 가정용품 소매업</t>
        </is>
      </c>
      <c r="F989" s="68" t="inlineStr">
        <is>
          <t>◦우산, 양산</t>
        </is>
      </c>
      <c r="G989" s="90" t="n">
        <v>90.59999999999999</v>
      </c>
      <c r="H989" s="90" t="n">
        <v>0</v>
      </c>
      <c r="I989" s="90" t="n">
        <v>1.8</v>
      </c>
    </row>
    <row r="990">
      <c r="A990" s="65" t="inlineStr">
        <is>
          <t>523982</t>
        </is>
      </c>
      <c r="B990" s="68" t="inlineStr">
        <is>
          <t>도매 및 소매업</t>
        </is>
      </c>
      <c r="C990" s="68" t="inlineStr">
        <is>
          <t>소매업: 자동차 제외</t>
        </is>
      </c>
      <c r="D990" s="68" t="inlineStr">
        <is>
          <t>그 외 기타 가정용품 소매업</t>
        </is>
      </c>
      <c r="E990" s="68" t="inlineStr">
        <is>
          <t>그 외 기타 분류 안된 가정용품 소매업</t>
        </is>
      </c>
      <c r="F990" s="68" t="inlineStr">
        <is>
          <t>◦이 · 미용기구</t>
        </is>
      </c>
      <c r="G990" s="90" t="n">
        <v>90</v>
      </c>
      <c r="H990" s="90" t="n">
        <v>0</v>
      </c>
      <c r="I990" s="90" t="n">
        <v>6.3</v>
      </c>
    </row>
    <row r="991">
      <c r="A991" s="65" t="inlineStr">
        <is>
          <t>523983</t>
        </is>
      </c>
      <c r="B991" s="68" t="inlineStr">
        <is>
          <t>도매 및 소매업</t>
        </is>
      </c>
      <c r="C991" s="68" t="inlineStr">
        <is>
          <t>소매업: 자동차 제외</t>
        </is>
      </c>
      <c r="D991" s="68" t="inlineStr">
        <is>
          <t>서적 및 문구용품 소매업</t>
        </is>
      </c>
      <c r="E991" s="68" t="inlineStr">
        <is>
          <t>문구용품 및 회화용품 소매업</t>
        </is>
      </c>
      <c r="F991" s="68" t="inlineStr">
        <is>
          <t>◦도장(인장류)</t>
        </is>
      </c>
      <c r="G991" s="90" t="n">
        <v>86.59999999999999</v>
      </c>
      <c r="H991" s="90" t="n">
        <v>0</v>
      </c>
      <c r="I991" s="90" t="n">
        <v>4.6</v>
      </c>
    </row>
    <row r="992">
      <c r="A992" s="65" t="inlineStr">
        <is>
          <t>523984</t>
        </is>
      </c>
      <c r="B992" s="68" t="inlineStr">
        <is>
          <t>도매 및 소매업</t>
        </is>
      </c>
      <c r="C992" s="68" t="inlineStr">
        <is>
          <t>소매업: 자동차 제외</t>
        </is>
      </c>
      <c r="D992" s="68" t="inlineStr">
        <is>
          <t>그 외 기타 상품 전문 소매업</t>
        </is>
      </c>
      <c r="E992" s="68" t="inlineStr">
        <is>
          <t>그 외 기타 분류 안된 상품 전문 소매업</t>
        </is>
      </c>
      <c r="F992" s="68" t="inlineStr">
        <is>
          <t>◦우표</t>
        </is>
      </c>
      <c r="G992" s="90" t="n">
        <v>98.3</v>
      </c>
      <c r="H992" s="90" t="n">
        <v>0</v>
      </c>
      <c r="I992" s="90" t="n">
        <v>4.6</v>
      </c>
    </row>
    <row r="993">
      <c r="A993" s="65" t="inlineStr">
        <is>
          <t>523985</t>
        </is>
      </c>
      <c r="B993" s="68" t="inlineStr">
        <is>
          <t>도매 및 소매업</t>
        </is>
      </c>
      <c r="C993" s="68" t="inlineStr">
        <is>
          <t>소매업: 자동차 제외</t>
        </is>
      </c>
      <c r="D993" s="68" t="inlineStr">
        <is>
          <t>그 외 기타 상품 전문 소매업</t>
        </is>
      </c>
      <c r="E993" s="68" t="inlineStr">
        <is>
          <t>그 외 기타 분류 안된 상품 전문 소매업</t>
        </is>
      </c>
      <c r="F993" s="68" t="inlineStr">
        <is>
          <t>◦인지</t>
        </is>
      </c>
      <c r="G993" s="90" t="n">
        <v>99.59999999999999</v>
      </c>
      <c r="H993" s="90" t="n">
        <v>0</v>
      </c>
      <c r="I993" s="90" t="n">
        <v>4.6</v>
      </c>
    </row>
    <row r="994">
      <c r="A994" s="65" t="inlineStr">
        <is>
          <t>523986</t>
        </is>
      </c>
      <c r="B994" s="68" t="inlineStr">
        <is>
          <t>도매 및 소매업</t>
        </is>
      </c>
      <c r="C994" s="68" t="inlineStr">
        <is>
          <t>소매업: 자동차 제외</t>
        </is>
      </c>
      <c r="D994" s="68" t="inlineStr">
        <is>
          <t>그 외 기타 상품 전문 소매업</t>
        </is>
      </c>
      <c r="E994" s="68" t="inlineStr">
        <is>
          <t>그 외 기타 분류 안된 상품 전문 소매업</t>
        </is>
      </c>
      <c r="F994" s="68" t="inlineStr">
        <is>
          <t>◦소방기구
&lt;예 시&gt;
·방화기구, 소방용기구(가정용)</t>
        </is>
      </c>
      <c r="G994" s="90" t="n">
        <v>87.7</v>
      </c>
      <c r="H994" s="90" t="n">
        <v>0</v>
      </c>
      <c r="I994" s="90" t="n">
        <v>6.5</v>
      </c>
    </row>
    <row r="995">
      <c r="A995" s="65" t="inlineStr">
        <is>
          <t>523987</t>
        </is>
      </c>
      <c r="B995" s="68" t="inlineStr">
        <is>
          <t>도매 및 소매업</t>
        </is>
      </c>
      <c r="C995" s="68" t="inlineStr">
        <is>
          <t>소매업: 자동차 제외</t>
        </is>
      </c>
      <c r="D995" s="68" t="inlineStr">
        <is>
          <t>그 외 기타 상품 전문 소매업</t>
        </is>
      </c>
      <c r="E995" s="68" t="inlineStr">
        <is>
          <t>화초 및 식물 소매업</t>
        </is>
      </c>
      <c r="F995" s="68" t="inlineStr">
        <is>
          <t>◦종자</t>
        </is>
      </c>
      <c r="G995" s="90" t="n">
        <v>90.5</v>
      </c>
      <c r="H995" s="90" t="n">
        <v>0</v>
      </c>
      <c r="I995" s="90" t="n">
        <v>6.7</v>
      </c>
    </row>
    <row r="996">
      <c r="A996" s="65" t="inlineStr">
        <is>
          <t>523988</t>
        </is>
      </c>
      <c r="B996" s="68" t="inlineStr">
        <is>
          <t>도매 및 소매업</t>
        </is>
      </c>
      <c r="C996" s="68" t="inlineStr">
        <is>
          <t>소매업: 자동차 제외</t>
        </is>
      </c>
      <c r="D996" s="68" t="inlineStr">
        <is>
          <t>그 외 기타 상품 전문 소매업</t>
        </is>
      </c>
      <c r="E996" s="68" t="inlineStr">
        <is>
          <t>화초 및 식물 소매업</t>
        </is>
      </c>
      <c r="F996" s="68" t="inlineStr">
        <is>
          <t>◦화초 및 살아있는 식물, 종묘 등을 소매하는 산업활동을 말한다.
&lt;예 시&gt;
·분재류 소매
·잔디 소매
·난 및 꽃 소매
·관상수 및 조경수 소매
·종묘 소매
&lt;제 외&gt;
*종자(→523987)</t>
        </is>
      </c>
      <c r="G996" s="90" t="n">
        <v>86.7</v>
      </c>
      <c r="H996" s="90" t="n">
        <v>0</v>
      </c>
      <c r="I996" s="90" t="n">
        <v>7.1</v>
      </c>
    </row>
    <row r="997">
      <c r="A997" s="65" t="inlineStr">
        <is>
          <t>523990</t>
        </is>
      </c>
      <c r="B997" s="68" t="inlineStr">
        <is>
          <t>사업시설 관리, 사업지원 및 임대 서비스업</t>
        </is>
      </c>
      <c r="C997" s="68" t="inlineStr">
        <is>
          <t>사업지원 서비스업</t>
        </is>
      </c>
      <c r="D997" s="68" t="inlineStr">
        <is>
          <t>기타 여행 보조 및 예약 서비스업</t>
        </is>
      </c>
      <c r="E997" s="68" t="inlineStr">
        <is>
          <t>기타 여행 보조 및 예약 서비스업</t>
        </is>
      </c>
      <c r="F997" s="68" t="inlineStr">
        <is>
          <t>◦버스표</t>
        </is>
      </c>
      <c r="G997" s="90" t="n">
        <v>98.3</v>
      </c>
      <c r="H997" s="90" t="n">
        <v>0</v>
      </c>
      <c r="I997" s="90" t="n">
        <v>32.1</v>
      </c>
    </row>
    <row r="998">
      <c r="A998" s="65" t="inlineStr">
        <is>
          <t>523993</t>
        </is>
      </c>
      <c r="B998" s="68" t="inlineStr">
        <is>
          <t>도매 및 소매업</t>
        </is>
      </c>
      <c r="C998" s="68" t="inlineStr">
        <is>
          <t>소매업: 자동차 제외</t>
        </is>
      </c>
      <c r="D998" s="68" t="inlineStr">
        <is>
          <t>가방 및 기타 가죽제품 소매업</t>
        </is>
      </c>
      <c r="E998" s="68" t="inlineStr">
        <is>
          <t>가방 및 기타 가죽제품 소매업</t>
        </is>
      </c>
      <c r="F998" s="68" t="inlineStr">
        <is>
          <t>◦피혁류
&lt;예 시&gt;
·가죽수공예재료</t>
        </is>
      </c>
      <c r="G998" s="90" t="n">
        <v>91.09999999999999</v>
      </c>
      <c r="H998" s="90" t="n">
        <v>0</v>
      </c>
      <c r="I998" s="90" t="n">
        <v>7.8</v>
      </c>
    </row>
    <row r="999">
      <c r="A999" s="65" t="inlineStr">
        <is>
          <t>523994</t>
        </is>
      </c>
      <c r="B999" s="68" t="inlineStr">
        <is>
          <t>도매 및 소매업</t>
        </is>
      </c>
      <c r="C999" s="68" t="inlineStr">
        <is>
          <t>소매업: 자동차 제외</t>
        </is>
      </c>
      <c r="D999" s="68" t="inlineStr">
        <is>
          <t>그 외 기타 상품 전문 소매업</t>
        </is>
      </c>
      <c r="E999" s="68" t="inlineStr">
        <is>
          <t>그 외 기타 분류 안된 상품 전문 소매업</t>
        </is>
      </c>
      <c r="F999" s="68" t="inlineStr">
        <is>
          <t>◦살충제, 살균제, 쥐약, 성장조절제등 농업용 약품</t>
        </is>
      </c>
      <c r="G999" s="90" t="n">
        <v>91.7</v>
      </c>
      <c r="H999" s="90" t="n">
        <v>0</v>
      </c>
      <c r="I999" s="90" t="n">
        <v>3</v>
      </c>
    </row>
    <row r="1000">
      <c r="A1000" s="65" t="inlineStr">
        <is>
          <t>523995</t>
        </is>
      </c>
      <c r="B1000" s="68" t="inlineStr">
        <is>
          <t>도매 및 소매업</t>
        </is>
      </c>
      <c r="C1000" s="68" t="inlineStr">
        <is>
          <t>소매업: 자동차 제외</t>
        </is>
      </c>
      <c r="D1000" s="68" t="inlineStr">
        <is>
          <t>그 외 기타 상품 전문 소매업</t>
        </is>
      </c>
      <c r="E1000" s="68" t="inlineStr">
        <is>
          <t>그 외 기타 분류 안된 상품 전문 소매업</t>
        </is>
      </c>
      <c r="F1000" s="68" t="inlineStr">
        <is>
          <t>◦비료</t>
        </is>
      </c>
      <c r="G1000" s="90" t="n">
        <v>96.59999999999999</v>
      </c>
      <c r="H1000" s="90" t="n">
        <v>0</v>
      </c>
      <c r="I1000" s="90" t="n">
        <v>6.8</v>
      </c>
    </row>
    <row r="1001">
      <c r="A1001" s="65" t="inlineStr">
        <is>
          <t>523996</t>
        </is>
      </c>
      <c r="B1001" s="68" t="inlineStr">
        <is>
          <t>도매 및 소매업</t>
        </is>
      </c>
      <c r="C1001" s="68" t="inlineStr">
        <is>
          <t>소매업: 자동차 제외</t>
        </is>
      </c>
      <c r="D1001" s="68" t="inlineStr">
        <is>
          <t>그 외 기타 상품 전문 소매업</t>
        </is>
      </c>
      <c r="E1001" s="68" t="inlineStr">
        <is>
          <t>반려용동물 및 관련용품 소매업</t>
        </is>
      </c>
      <c r="F1001" s="68" t="inlineStr">
        <is>
          <t>◦반려용･애완용 동물 및 관련 용품을 소매하는 산업활동을 말한다.
&lt;예 시&gt;
·반려･애완 동물 소매                    ·반려용･애완용 동물 사료 소매          
·관상어(열대어 등) 소매
&lt;제 외&gt;
·가축용 사료 소매(522012)</t>
        </is>
      </c>
      <c r="G1001" s="90" t="n">
        <v>84.5</v>
      </c>
      <c r="H1001" s="90" t="n">
        <v>0</v>
      </c>
      <c r="I1001" s="90" t="n">
        <v>10.7</v>
      </c>
    </row>
    <row r="1002">
      <c r="A1002" s="65" t="inlineStr">
        <is>
          <t>523999</t>
        </is>
      </c>
      <c r="B1002" s="68" t="inlineStr">
        <is>
          <t>도매 및 소매업</t>
        </is>
      </c>
      <c r="C1002" s="68" t="inlineStr">
        <is>
          <t>소매업: 자동차 제외</t>
        </is>
      </c>
      <c r="D1002" s="68" t="inlineStr">
        <is>
          <t>그 외 기타 상품 전문 소매업</t>
        </is>
      </c>
      <c r="E1002" s="68" t="inlineStr">
        <is>
          <t>그 외 기타 분류 안된 상품 전문 소매업</t>
        </is>
      </c>
      <c r="F1002" s="68" t="inlineStr">
        <is>
          <t>◦달리 분류되지 않은 기타 특정 상품 신품을 소매하는 산업활동을 포함한다.
&lt;예 시&gt;
·총포 소매
·비전기식 재봉기 소매
·우지
·외국군불하물자
&lt;제 외&gt;
*백삼, 수삼, 태극삼, 인삼차 등 기타인삼제품(→522092)
*한약업사(→522105)
*살충제, 살균제, 쥐약, 성장조절제등 농업용 약품(→523994)
*수석(→523954), 우표(→523984), 인지(→523985), 소방기구(→523986), 비료(→523995)</t>
        </is>
      </c>
      <c r="G1002" s="90" t="n">
        <v>85.2</v>
      </c>
      <c r="H1002" s="90" t="n">
        <v>0</v>
      </c>
      <c r="I1002" s="90" t="n">
        <v>5.4</v>
      </c>
    </row>
    <row r="1003">
      <c r="A1003" s="65" t="inlineStr">
        <is>
          <t>524000</t>
        </is>
      </c>
      <c r="B1003" s="68" t="inlineStr">
        <is>
          <t>도매 및 소매업</t>
        </is>
      </c>
      <c r="C1003" s="68" t="inlineStr">
        <is>
          <t>소매업: 자동차 제외</t>
        </is>
      </c>
      <c r="D1003" s="68" t="inlineStr">
        <is>
          <t>섬유, 직물 및 의복 액세서리 소매업</t>
        </is>
      </c>
      <c r="E1003" s="68" t="inlineStr">
        <is>
          <t>의복 액세서리 및 모조 장신구 소매업</t>
        </is>
      </c>
      <c r="F1003" s="68" t="inlineStr">
        <is>
          <t>◦가발</t>
        </is>
      </c>
      <c r="G1003" s="90" t="n">
        <v>85.2</v>
      </c>
      <c r="H1003" s="90" t="n">
        <v>0</v>
      </c>
      <c r="I1003" s="90" t="n">
        <v>5.6</v>
      </c>
    </row>
    <row r="1004">
      <c r="A1004" s="65" t="inlineStr">
        <is>
          <t>524001</t>
        </is>
      </c>
      <c r="B1004" s="68" t="inlineStr">
        <is>
          <t>도매 및 소매업</t>
        </is>
      </c>
      <c r="C1004" s="68" t="inlineStr">
        <is>
          <t>소매업: 자동차 제외</t>
        </is>
      </c>
      <c r="D1004" s="68" t="inlineStr">
        <is>
          <t>철물, 공구, 창호 및 건설자재 소매업</t>
        </is>
      </c>
      <c r="E1004" s="68" t="inlineStr">
        <is>
          <t>공구 소매업</t>
        </is>
      </c>
      <c r="F1004" s="68" t="inlineStr">
        <is>
          <t>◦비동력식 수공구 및 각종 수지식 동력 기계공구(전동공구, 절삭공구, 공작공구 등)를 소매하는 산업활동을 말한다.
&lt;예 시&gt;
·비동력식 수공구 소매업
·전동공구 소매업
·절삭공구 소매업
&lt;제 외&gt;
.전기식 잔디 깎기 도매업(515020)
*농업용 기계공구,수공구 소매업(→523413)</t>
        </is>
      </c>
      <c r="G1004" s="90" t="n">
        <v>85.2</v>
      </c>
      <c r="H1004" s="90" t="n">
        <v>0</v>
      </c>
      <c r="I1004" s="90" t="n">
        <v>8.6</v>
      </c>
    </row>
    <row r="1005">
      <c r="A1005" s="65" t="inlineStr">
        <is>
          <t>524010</t>
        </is>
      </c>
      <c r="B1005" s="68" t="inlineStr">
        <is>
          <t>도매 및 소매업</t>
        </is>
      </c>
      <c r="C1005" s="68" t="inlineStr">
        <is>
          <t>소매업: 자동차 제외</t>
        </is>
      </c>
      <c r="D1005" s="68" t="inlineStr">
        <is>
          <t>중고 상품 소매업</t>
        </is>
      </c>
      <c r="E1005" s="68" t="inlineStr">
        <is>
          <t>중고 가구 소매업</t>
        </is>
      </c>
      <c r="F1005" s="68" t="inlineStr">
        <is>
          <t>◦중고 가구를 소매하는 산업활동을 말한다.
&lt;예 시&gt;
·중고 장롱 소매
·중고 주방 가구 소매
·중고 침대 소매
·중고 등가구 소매</t>
        </is>
      </c>
      <c r="G1005" s="90" t="n">
        <v>87.90000000000001</v>
      </c>
      <c r="H1005" s="90" t="n">
        <v>0</v>
      </c>
      <c r="I1005" s="90" t="n">
        <v>4.6</v>
      </c>
    </row>
    <row r="1006">
      <c r="A1006" s="65" t="inlineStr">
        <is>
          <t>524020</t>
        </is>
      </c>
      <c r="B1006" s="68" t="inlineStr">
        <is>
          <t>도매 및 소매업</t>
        </is>
      </c>
      <c r="C1006" s="68" t="inlineStr">
        <is>
          <t>소매업: 자동차 제외</t>
        </is>
      </c>
      <c r="D1006" s="68" t="inlineStr">
        <is>
          <t>중고 상품 소매업</t>
        </is>
      </c>
      <c r="E1006" s="68" t="inlineStr">
        <is>
          <t>기타 중고 상품 소매업</t>
        </is>
      </c>
      <c r="F1006" s="68" t="inlineStr">
        <is>
          <t>◦중고서적 소매
&lt;예 시&gt;
·헌책방</t>
        </is>
      </c>
      <c r="G1006" s="90" t="n">
        <v>92.40000000000001</v>
      </c>
      <c r="H1006" s="90" t="n">
        <v>0</v>
      </c>
      <c r="I1006" s="90" t="n">
        <v>4.9</v>
      </c>
    </row>
    <row r="1007">
      <c r="A1007" s="65" t="inlineStr">
        <is>
          <t>524091</t>
        </is>
      </c>
      <c r="B1007" s="68" t="inlineStr">
        <is>
          <t>도매 및 소매업</t>
        </is>
      </c>
      <c r="C1007" s="68" t="inlineStr">
        <is>
          <t>소매업: 자동차 제외</t>
        </is>
      </c>
      <c r="D1007" s="68" t="inlineStr">
        <is>
          <t>중고 상품 소매업</t>
        </is>
      </c>
      <c r="E1007" s="68" t="inlineStr">
        <is>
          <t>기타 중고 상품 소매업</t>
        </is>
      </c>
      <c r="F1007" s="68" t="inlineStr">
        <is>
          <t>◦고철, 고동(古銅) 등
◦공병, 폐지, 넝마, 폐고무 등 각종고물</t>
        </is>
      </c>
      <c r="G1007" s="90" t="n">
        <v>94.90000000000001</v>
      </c>
      <c r="H1007" s="90" t="n">
        <v>0</v>
      </c>
      <c r="I1007" s="90" t="n">
        <v>4.4</v>
      </c>
    </row>
    <row r="1008">
      <c r="A1008" s="65" t="inlineStr">
        <is>
          <t>524092</t>
        </is>
      </c>
      <c r="B1008" s="68" t="inlineStr">
        <is>
          <t>도매 및 소매업</t>
        </is>
      </c>
      <c r="C1008" s="68" t="inlineStr">
        <is>
          <t>소매업: 자동차 제외</t>
        </is>
      </c>
      <c r="D1008" s="68" t="inlineStr">
        <is>
          <t>중고 상품 소매업</t>
        </is>
      </c>
      <c r="E1008" s="68" t="inlineStr">
        <is>
          <t>중고 가전제품 및 통신장비 소매업</t>
        </is>
      </c>
      <c r="F1008" s="68" t="inlineStr">
        <is>
          <t>◦중고의 가정용 영상 기기, 음향 기기, 통신 기기, 전열 기기 등 가정용 전기 기기를 소매하는 산업활동을 말한다.
&lt;예 시&gt;
·중고 세탁기, 에어컨 소매
·중고 전기 다리미 소매
·중고 비디오, 오디오 소매
·중고 전기 청소기 소매
·중고 노래방 기기 소매
·중고 휴대폰 소매</t>
        </is>
      </c>
      <c r="G1008" s="90" t="n">
        <v>90.09999999999999</v>
      </c>
      <c r="H1008" s="90" t="n">
        <v>0</v>
      </c>
      <c r="I1008" s="90" t="n">
        <v>9.6</v>
      </c>
    </row>
    <row r="1009">
      <c r="A1009" s="65" t="inlineStr">
        <is>
          <t>524093</t>
        </is>
      </c>
      <c r="B1009" s="68" t="inlineStr">
        <is>
          <t>도매 및 소매업</t>
        </is>
      </c>
      <c r="C1009" s="68" t="inlineStr">
        <is>
          <t>소매업: 자동차 제외</t>
        </is>
      </c>
      <c r="D1009" s="68" t="inlineStr">
        <is>
          <t>중고 상품 소매업</t>
        </is>
      </c>
      <c r="E1009" s="68" t="inlineStr">
        <is>
          <t>기타 중고 상품 소매업</t>
        </is>
      </c>
      <c r="F1009" s="68" t="inlineStr">
        <is>
          <t>◦달리 분류되지 않은 각종 중고 상품을 전문적으로 소매하는 산업활동을 포함한다.
&lt;예 시&gt;
·중고 악기 소매
·저당물 소매
&lt;제 외&gt;
*중고서적 소매(→524020)
*고철 등 각종고물(→524091)</t>
        </is>
      </c>
      <c r="G1009" s="90" t="n">
        <v>90.09999999999999</v>
      </c>
      <c r="H1009" s="90" t="n">
        <v>0</v>
      </c>
      <c r="I1009" s="90" t="n">
        <v>2.3</v>
      </c>
    </row>
    <row r="1010">
      <c r="A1010" s="65" t="inlineStr">
        <is>
          <t>525101</t>
        </is>
      </c>
      <c r="B1010" s="68" t="inlineStr">
        <is>
          <t>도매 및 소매업</t>
        </is>
      </c>
      <c r="C1010" s="68" t="inlineStr">
        <is>
          <t>소매업: 자동차 제외</t>
        </is>
      </c>
      <c r="D1010" s="68" t="inlineStr">
        <is>
          <t>통신 판매업</t>
        </is>
      </c>
      <c r="E1010" s="68" t="inlineStr">
        <is>
          <t>전자상거래 소매업</t>
        </is>
      </c>
      <c r="F1010" s="68" t="inlineStr">
        <is>
          <t>◦일반 대중을 대상으로 온라인 통신망(사회관계망서비스(SNS)채널은 제외한다)을 통하여 각종 상품을 소매하는 산업활동을 말한다.
&lt;예 시&gt;
·상품 전자상거래 판매(오픈마켓 판매자 포함)
&lt;제 외&gt;
·전자상거래 소매 중개 및 소셜커머스(525103)
·제조 사업체가 전자상거래 방식으로 제조한 제품을 판매하는 경우에는 해당 제품 제조업으로 분류
·도매 사업체가 전자상거래 방식으로 사업자를 대상으로 상품을 도매하는 경우 도매업으로 분류
·소비자를 대상으로 직접 소매하는 일정 매장을 운영하면서 전자상거래 방식으로 소매를 병행하는 경우 521～524로 분류
·각종 정보 및 기타 서비스를 전자상거래 방식으로 제공하는 경우 서비스 유형별로 분류</t>
        </is>
      </c>
      <c r="G1010" s="90" t="n">
        <v>86</v>
      </c>
      <c r="H1010" s="90" t="n">
        <v>0</v>
      </c>
      <c r="I1010" s="90" t="n">
        <v>9.5</v>
      </c>
    </row>
    <row r="1011">
      <c r="A1011" s="65" t="inlineStr">
        <is>
          <t>525102</t>
        </is>
      </c>
      <c r="B1011" s="68" t="inlineStr">
        <is>
          <t>도매 및 소매업</t>
        </is>
      </c>
      <c r="C1011" s="68" t="inlineStr">
        <is>
          <t>소매업: 자동차 제외</t>
        </is>
      </c>
      <c r="D1011" s="68" t="inlineStr">
        <is>
          <t>통신 판매업</t>
        </is>
      </c>
      <c r="E1011" s="68" t="inlineStr">
        <is>
          <t>기타 통신 판매업</t>
        </is>
      </c>
      <c r="F1011" s="68" t="inlineStr">
        <is>
          <t>◦온라인 통신망 이외의 기타 통신수단에 의하여 각종 상품을 소매하는 산업활동을 말한다.
&lt;예 시&gt;
·인쇄물 광고형 소매
·카탈로그(상품안내서, catalog)형 소매
·전화 소매
·우편 소매
·TV 홈쇼핑
·통신 판매 중개</t>
        </is>
      </c>
      <c r="G1011" s="90" t="n">
        <v>87.59999999999999</v>
      </c>
      <c r="H1011" s="90" t="n">
        <v>0</v>
      </c>
      <c r="I1011" s="90" t="n">
        <v>11.8</v>
      </c>
    </row>
    <row r="1012">
      <c r="A1012" s="65" t="inlineStr">
        <is>
          <t>525103</t>
        </is>
      </c>
      <c r="B1012" s="68" t="inlineStr">
        <is>
          <t>도매 및 소매업</t>
        </is>
      </c>
      <c r="C1012" s="68" t="inlineStr">
        <is>
          <t>소매업: 자동차 제외</t>
        </is>
      </c>
      <c r="D1012" s="68" t="inlineStr">
        <is>
          <t>통신 판매업</t>
        </is>
      </c>
      <c r="E1012" s="68" t="inlineStr">
        <is>
          <t>전자상거래 소매 중개업</t>
        </is>
      </c>
      <c r="F1012" s="68" t="inlineStr">
        <is>
          <t>◦개인 또는 소규모 업체가 온라인상에서 재화나 용역을 판매할 수 있도록  중개업무를 담당하는 산업활동을 말한다.
&lt;예 시&gt;
·소셜 커머스(할인 쿠폰 공동 구매형 전자상거래 중개)
·전자상거래 소매 중개(오픈마켓 사업자)
&lt;제 외&gt;
·오픈마켓 판매자(525101)
·SNS마켓(525104)
·해외직구대행업(525105)
·각종 정보 및 기타 서비스를 전자상거래 방식으로 제공하는 경우 서비스 유형별로 분류</t>
        </is>
      </c>
      <c r="G1012" s="90" t="n">
        <v>86</v>
      </c>
      <c r="H1012" s="90" t="n">
        <v>0</v>
      </c>
      <c r="I1012" s="90" t="n">
        <v>12.5</v>
      </c>
    </row>
    <row r="1013">
      <c r="A1013" s="65" t="inlineStr">
        <is>
          <t>525104</t>
        </is>
      </c>
      <c r="B1013" s="68" t="inlineStr">
        <is>
          <t>도매 및 소매업</t>
        </is>
      </c>
      <c r="C1013" s="68" t="inlineStr">
        <is>
          <t>소매업: 자동차 제외</t>
        </is>
      </c>
      <c r="D1013" s="68" t="inlineStr">
        <is>
          <t>통신 판매업</t>
        </is>
      </c>
      <c r="E1013" s="68" t="inlineStr">
        <is>
          <t>SNS마켓</t>
        </is>
      </c>
      <c r="F1013" s="68" t="inlineStr">
        <is>
          <t>◦블로그·카페 등 각종 사회관계망서비스(SNS)채널을 이용하여 물품판매, 구매, 알선·중개 등을 통해 수익을 얻는 산업활동을 말한다.
*(사회관계망서비스) 특정한 관심이나 활동을 공유하는 사람들 사이의 관계를 구축해주는 온라인 서비스(페이스북, 트위터 등)</t>
        </is>
      </c>
      <c r="G1013" s="90" t="n">
        <v>86</v>
      </c>
      <c r="H1013" s="90" t="n">
        <v>0</v>
      </c>
      <c r="I1013" s="90" t="n">
        <v>8.300000000000001</v>
      </c>
    </row>
    <row r="1014">
      <c r="A1014" s="65" t="inlineStr">
        <is>
          <t>525105</t>
        </is>
      </c>
      <c r="B1014" s="68" t="inlineStr">
        <is>
          <t>도매 및 소매업</t>
        </is>
      </c>
      <c r="C1014" s="68" t="inlineStr">
        <is>
          <t>소매업: 자동차 제외</t>
        </is>
      </c>
      <c r="D1014" s="68" t="inlineStr">
        <is>
          <t>통신 판매업</t>
        </is>
      </c>
      <c r="E1014" s="68" t="inlineStr">
        <is>
          <t>해외직구대행업</t>
        </is>
      </c>
      <c r="F1014" s="68" t="inlineStr">
        <is>
          <t>◦ 온라인 몰을 통해 해외에서 구매 가능한 재화 등에 대하여 정보를 제공하고 온라인 몰 이용자의 청약을 받아, 해당 재화 등을 이용자의 명의로 대리하여 구매한 후 이용자에게 전달해줌으로써 수수료를 받아 수익을 얻는 산업 활동을 말한다.</t>
        </is>
      </c>
      <c r="G1014" s="90" t="n">
        <v>86</v>
      </c>
      <c r="H1014" s="90" t="n">
        <v>0</v>
      </c>
      <c r="I1014" s="90" t="n">
        <v>13</v>
      </c>
    </row>
    <row r="1015">
      <c r="A1015" s="65" t="inlineStr">
        <is>
          <t>525200</t>
        </is>
      </c>
      <c r="B1015" s="68" t="inlineStr">
        <is>
          <t>도매 및 소매업</t>
        </is>
      </c>
      <c r="C1015" s="68" t="inlineStr">
        <is>
          <t>소매업: 자동차 제외</t>
        </is>
      </c>
      <c r="D1015" s="68" t="inlineStr">
        <is>
          <t>기타 무점포 소매업</t>
        </is>
      </c>
      <c r="E1015" s="68" t="inlineStr">
        <is>
          <t>방문 판매업</t>
        </is>
      </c>
      <c r="F1015" s="68" t="inlineStr">
        <is>
          <t>◦다단계 판매원이 가정이나 사업체를 방문하여 특정 상품을 소매하는 산업활동을 말한다.
&lt;예 시&gt;
·화장품 방문 판매
·정수기 방문 판매
·서적 및 교육자재 방문 판매
&lt;제 외&gt;
*외판원이 가정이나 사업체를 방문하여 자기 명의의 화장품을 소매(→523132)</t>
        </is>
      </c>
      <c r="G1015" s="90" t="n">
        <v>83.59999999999999</v>
      </c>
      <c r="H1015" s="90" t="n">
        <v>0</v>
      </c>
      <c r="I1015" s="90" t="n">
        <v>23.6</v>
      </c>
    </row>
    <row r="1016">
      <c r="A1016" s="65" t="inlineStr">
        <is>
          <t>525300</t>
        </is>
      </c>
      <c r="B1016" s="68" t="inlineStr">
        <is>
          <t>도매 및 소매업</t>
        </is>
      </c>
      <c r="C1016" s="68" t="inlineStr">
        <is>
          <t>소매업: 자동차 제외</t>
        </is>
      </c>
      <c r="D1016" s="68" t="inlineStr">
        <is>
          <t>기타 무점포 소매업</t>
        </is>
      </c>
      <c r="E1016" s="68" t="inlineStr">
        <is>
          <t>계약배달 판매업</t>
        </is>
      </c>
      <c r="F1016" s="68" t="inlineStr">
        <is>
          <t>◦일반 대중을 대상으로 매장을 개설하지 않고 약정 기간 동안 계속적으로 신문, 우유, 요구르트 등 특정 상품을 소비자에게 직접 배달◦소매하는 산업활동을 말한다.
&lt;예 시&gt;
·신문 배달 판매
·우유 및 요구르트 배달 판매
·식품 배달 판매
&lt;제 외&gt;
·학습지 계약 배달 판매(940908)</t>
        </is>
      </c>
      <c r="G1016" s="90" t="n">
        <v>95.59999999999999</v>
      </c>
      <c r="H1016" s="90" t="n">
        <v>0</v>
      </c>
      <c r="I1016" s="90" t="n">
        <v>8</v>
      </c>
    </row>
    <row r="1017">
      <c r="A1017" s="65" t="inlineStr">
        <is>
          <t>525910</t>
        </is>
      </c>
      <c r="B1017" s="68" t="inlineStr">
        <is>
          <t>도매 및 소매업</t>
        </is>
      </c>
      <c r="C1017" s="68" t="inlineStr">
        <is>
          <t>소매업: 자동차 제외</t>
        </is>
      </c>
      <c r="D1017" s="68" t="inlineStr">
        <is>
          <t>기타 무점포 소매업</t>
        </is>
      </c>
      <c r="E1017" s="68" t="inlineStr">
        <is>
          <t>자동 판매기 운영업</t>
        </is>
      </c>
      <c r="F1017" s="68" t="inlineStr">
        <is>
          <t>◦일정한 장소에 자동 판매기를 설치◦운영하면서 상품을 소매하는 산업활동을 말한다.
&lt;예 시&gt;
·담배 자판기 운영
·커피 자판기 운영
·음료 자판기 운영
·라면 자판기 운영
&lt;제 외&gt;
·동전 조작식 사진촬영기 운영(749401)
·동전 조작식 세탁기 운영(930100)</t>
        </is>
      </c>
      <c r="G1017" s="90" t="n">
        <v>88.7</v>
      </c>
      <c r="H1017" s="90" t="n">
        <v>0</v>
      </c>
      <c r="I1017" s="90" t="n">
        <v>6.7</v>
      </c>
    </row>
    <row r="1018">
      <c r="A1018" s="65" t="inlineStr">
        <is>
          <t>525911</t>
        </is>
      </c>
      <c r="B1018" s="68" t="inlineStr">
        <is>
          <t>도매 및 소매업</t>
        </is>
      </c>
      <c r="C1018" s="68" t="inlineStr">
        <is>
          <t>소매업: 자동차 제외</t>
        </is>
      </c>
      <c r="D1018" s="68" t="inlineStr">
        <is>
          <t>노점 및 유사 이동 소매업</t>
        </is>
      </c>
      <c r="E1018" s="68" t="inlineStr">
        <is>
          <t>노점 및 유사 이동 소매업</t>
        </is>
      </c>
      <c r="F1018" s="68" t="inlineStr">
        <is>
          <t>◦일정한 구역 내에서 임시 매장을 개설하고 각종 상품을 소매하는 노점 및 유사 이동 판매업을 운영하는 산업활동을 말한다. 고정된 판매대를 설치하여 판매하는 경우는 제외한다.
&lt;제 외&gt;
·구역 간을 이동하면서 판매하는 경우(525912)</t>
        </is>
      </c>
      <c r="G1018" s="90" t="n">
        <v>87.59999999999999</v>
      </c>
      <c r="H1018" s="90" t="n">
        <v>0</v>
      </c>
      <c r="I1018" s="90" t="n">
        <v>8.699999999999999</v>
      </c>
    </row>
    <row r="1019">
      <c r="A1019" s="65" t="inlineStr">
        <is>
          <t>525912</t>
        </is>
      </c>
      <c r="B1019" s="68" t="inlineStr">
        <is>
          <t>도매 및 소매업</t>
        </is>
      </c>
      <c r="C1019" s="68" t="inlineStr">
        <is>
          <t>소매업: 자동차 제외</t>
        </is>
      </c>
      <c r="D1019" s="68" t="inlineStr">
        <is>
          <t>기타 무점포 소매업</t>
        </is>
      </c>
      <c r="E1019" s="68" t="inlineStr">
        <is>
          <t>그 외 기타 무점포 소매업</t>
        </is>
      </c>
      <c r="F1019" s="68" t="inlineStr">
        <is>
          <t>◦달리 분류되지 않은 무점포 판매업으로서 차량 등을 이용하여 구역 간을 이동하면서 각종 상품을 소매하는 산업활동을 포함한다.</t>
        </is>
      </c>
      <c r="G1019" s="90" t="n">
        <v>86.3</v>
      </c>
      <c r="H1019" s="90" t="n">
        <v>0</v>
      </c>
      <c r="I1019" s="90" t="n">
        <v>8.6</v>
      </c>
    </row>
    <row r="1020">
      <c r="A1020" s="65" t="inlineStr">
        <is>
          <t>551001</t>
        </is>
      </c>
      <c r="B1020" s="68" t="inlineStr">
        <is>
          <t>숙박 및 음식점업</t>
        </is>
      </c>
      <c r="C1020" s="68" t="inlineStr">
        <is>
          <t>숙박업</t>
        </is>
      </c>
      <c r="D1020" s="68" t="inlineStr">
        <is>
          <t>일반 및 생활 숙박시설 운영업</t>
        </is>
      </c>
      <c r="E1020" s="68" t="inlineStr">
        <is>
          <t>호텔업</t>
        </is>
      </c>
      <c r="F1020" s="68" t="inlineStr">
        <is>
          <t>◦일반적으로 안내 서비스(데스크 서비스), 식사(룸 서비스)◦세탁◦통역 등 개별 봉사 서비스를 제공하고, 공연◦회의, 오락◦스포츠, 주류 및 상품 판매 등의 관련 부대시설을 2종 이상 제공하는 숙박시설을 운영하는 산업활동을 말한다.
&lt;예 시&gt;
·관광 호텔
·의료 관광 일반 호텔
·소형 호텔
·수상 관광 호텔
·한국 전통 호텔
&lt;제 외&gt;
·가족 호텔업(551004)
·호스텔업(551006)</t>
        </is>
      </c>
      <c r="G1020" s="90" t="n">
        <v>87.09999999999999</v>
      </c>
      <c r="H1020" s="90" t="n">
        <v>0</v>
      </c>
      <c r="I1020" s="90" t="n">
        <v>26.1</v>
      </c>
    </row>
    <row r="1021">
      <c r="A1021" s="65" t="inlineStr">
        <is>
          <t>551002</t>
        </is>
      </c>
      <c r="B1021" s="68" t="inlineStr">
        <is>
          <t>숙박 및 음식점업</t>
        </is>
      </c>
      <c r="C1021" s="68" t="inlineStr">
        <is>
          <t>숙박업</t>
        </is>
      </c>
      <c r="D1021" s="68" t="inlineStr">
        <is>
          <t>일반 및 생활 숙박시설 운영업</t>
        </is>
      </c>
      <c r="E1021" s="68" t="inlineStr">
        <is>
          <t>여관업</t>
        </is>
      </c>
      <c r="F1021" s="68" t="inlineStr">
        <is>
          <t>◦호텔에서 제공되는 서비스가 없거나 제한된 서비스를 제공하는 숙박시설을 운영하는 산업활동을 말한다.
&lt;예 시&gt;
·여관, 모텔
&lt;제 외&gt;
*여인숙(→551009)</t>
        </is>
      </c>
      <c r="G1021" s="90" t="n">
        <v>85</v>
      </c>
      <c r="H1021" s="90" t="n">
        <v>0</v>
      </c>
      <c r="I1021" s="90" t="n">
        <v>23.7</v>
      </c>
    </row>
    <row r="1022">
      <c r="A1022" s="65" t="inlineStr">
        <is>
          <t>551003</t>
        </is>
      </c>
      <c r="B1022" s="68" t="inlineStr">
        <is>
          <t>교육서비스업</t>
        </is>
      </c>
      <c r="C1022" s="68" t="inlineStr">
        <is>
          <t>교육 서비스업</t>
        </is>
      </c>
      <c r="D1022" s="68" t="inlineStr">
        <is>
          <t>스포츠 및 레크리에이션 교육기관</t>
        </is>
      </c>
      <c r="E1022" s="68" t="inlineStr">
        <is>
          <t>청소년 수련시설 운영업</t>
        </is>
      </c>
      <c r="F1022" s="68" t="inlineStr">
        <is>
          <t>◦청소년 교육 및 심신 수련을 위하여 체육, 문화, 오락, 레크리에이션 및 자연 체험시설 등을 함께 갖춘 수련시설을 운영하는 산업활동을 말한다. 교육서비스 제공을 위한 부대설비로써 숙박시설(야영장, 캠프장 포함)을 갖춰 이용하는 경우도 포함한다.
&lt;예 시&gt;
·청소년 수련원
·자연 학습원
&lt;제 외&gt;
·호스텔업 운영(551006)
·오락 및 레크리에이션 위주의 놀이 시설 운영(924902)
·교육 목적이 아닌 청소년 수련 숙박시설 운영(551006)</t>
        </is>
      </c>
      <c r="G1022" s="90" t="n">
        <v>87.8</v>
      </c>
      <c r="H1022" s="90" t="n">
        <v>0</v>
      </c>
      <c r="I1022" s="90" t="n">
        <v>29.9</v>
      </c>
    </row>
    <row r="1023">
      <c r="A1023" s="65" t="inlineStr">
        <is>
          <t>551004</t>
        </is>
      </c>
      <c r="B1023" s="68" t="inlineStr">
        <is>
          <t>숙박 및 음식점업</t>
        </is>
      </c>
      <c r="C1023" s="68" t="inlineStr">
        <is>
          <t>숙박업</t>
        </is>
      </c>
      <c r="D1023" s="68" t="inlineStr">
        <is>
          <t>일반 및 생활 숙박시설 운영업</t>
        </is>
      </c>
      <c r="E1023" s="68" t="inlineStr">
        <is>
          <t>휴양 콘도 운영업</t>
        </is>
      </c>
      <c r="F1023" s="68" t="inlineStr">
        <is>
          <t>◦약정에 의하여 이용권을 획득한 특정 회원을 대상으로 제공되는 숙박시설로서 여유 객실은 일반인을 대상으로 제공하기도 한다. 스키장이나 골프장 등의 레저시설을 함께 운영하는 경우도 포함한다.
&lt;예 시&gt;
·회원제 숙박시설(취사시설을 갖춘) 운영
·회원용 콘도미니엄 운영
·특정 단체 전용 휴양·숙박시설 운영
·가족호텔
&lt;제 외&gt;
·각종 휴양, 오락, 여가시설을 주로 운영하면서 숙박시설을 함께 운영하는 경우, 해당되는 휴양, 오락, 여가 산업활동으로 분류
*휴가센터 및 휴식소 운영(→551010)</t>
        </is>
      </c>
      <c r="G1023" s="90" t="n">
        <v>77</v>
      </c>
      <c r="H1023" s="90" t="n">
        <v>0</v>
      </c>
      <c r="I1023" s="90" t="n">
        <v>26.1</v>
      </c>
    </row>
    <row r="1024">
      <c r="A1024" s="65" t="inlineStr">
        <is>
          <t>551005</t>
        </is>
      </c>
      <c r="B1024" s="68" t="inlineStr">
        <is>
          <t>숙박 및 음식점업</t>
        </is>
      </c>
      <c r="C1024" s="68" t="inlineStr">
        <is>
          <t>숙박업</t>
        </is>
      </c>
      <c r="D1024" s="68" t="inlineStr">
        <is>
          <t>일반 및 생활 숙박시설 운영업</t>
        </is>
      </c>
      <c r="E1024" s="68" t="inlineStr">
        <is>
          <t>민박업</t>
        </is>
      </c>
      <c r="F1024" s="68" t="inlineStr">
        <is>
          <t>◦단독 주택, 다가구 주택, 다세대 주택, 아파트 등 일반 주거용 주택을 이용하여 숙박 서비스를 제공하는 산업활동을 말한다. 숙박과 함께 취사시설을 제공하거나 식사를 제공하는 경우도 포함한다.
&lt;예 시&gt;
·농·어촌 민박시설 운영
·관광 도시 민박시설 운영
&lt;제 외&gt;
·숙박공유업(551007)</t>
        </is>
      </c>
      <c r="G1024" s="90" t="n">
        <v>82.90000000000001</v>
      </c>
      <c r="H1024" s="90" t="n">
        <v>0</v>
      </c>
      <c r="I1024" s="90" t="n">
        <v>23.6</v>
      </c>
    </row>
    <row r="1025">
      <c r="A1025" s="65" t="inlineStr">
        <is>
          <t>551006</t>
        </is>
      </c>
      <c r="B1025" s="68" t="inlineStr">
        <is>
          <t>숙박 및 음식점업</t>
        </is>
      </c>
      <c r="C1025" s="68" t="inlineStr">
        <is>
          <t>숙박업</t>
        </is>
      </c>
      <c r="D1025" s="68" t="inlineStr">
        <is>
          <t>일반 및 생활 숙박시설 운영업</t>
        </is>
      </c>
      <c r="E1025" s="68" t="inlineStr">
        <is>
          <t>기타 일반 및 생활 숙박시설 운영업</t>
        </is>
      </c>
      <c r="F1025" s="68" t="inlineStr">
        <is>
          <t>◦호텔, 여관, 휴양 콘도, 민박시설 등을 제외한 기타 일반 및 생활 숙박시설을 운영하는 산업활동을 말한다.
&lt;예 시&gt;
·산장 및 방갈로 운영
·호스텔 운영
·숙박용 펜션 운영
·서비스드 레지던스(serviced residence) 단기 생활 숙박형 운영
·호텔, 여관, 휴양 콘도 등의 일부 객실을 분양받아 운영
·교육 목적이 아닌 청소년 수련 숙박시설 운영
&lt;제 외&gt;
·교육 목적용 청소년 수련 숙박시설 운영(551003)
·서비스드 레지던스 임대 운영(701101,701102)
·게스트 하우스는 사용 명칭과 관련 없이 주된 시설과 제공 서비스 활동에 따라 민박업(551005) 또는 기타 일반 및 생활 숙박시설 운영업(551006) 등으로 분류
*야영장 및 캠프장 운영(→551015)</t>
        </is>
      </c>
      <c r="G1025" s="90" t="n">
        <v>87.40000000000001</v>
      </c>
      <c r="H1025" s="90" t="n">
        <v>0</v>
      </c>
      <c r="I1025" s="90" t="n">
        <v>22.9</v>
      </c>
    </row>
    <row r="1026">
      <c r="A1026" s="65" t="inlineStr">
        <is>
          <t>551007</t>
        </is>
      </c>
      <c r="B1026" s="68" t="inlineStr">
        <is>
          <t>숙박 및 음식점업</t>
        </is>
      </c>
      <c r="C1026" s="68" t="inlineStr">
        <is>
          <t>숙박업</t>
        </is>
      </c>
      <c r="D1026" s="68" t="inlineStr">
        <is>
          <t>일반 및 생활 숙박시설 운영업</t>
        </is>
      </c>
      <c r="E1026" s="68" t="inlineStr">
        <is>
          <t>숙박공유업</t>
        </is>
      </c>
      <c r="F1026" s="68" t="inlineStr">
        <is>
          <t>◦일반인이 빈방이나 빈집 같은 여유공간(숙박공간)을 여행객들에게 유상으로 제공하는 것으로 온라인 중개 플랫폼에 등록하여 숙박공간을 사용하고자 하는 임차인(GUEST)에게 공간을 공유·사용하게 함으로써 대가를 수령하는 산업활동을 말한다.</t>
        </is>
      </c>
      <c r="G1026" s="90" t="n">
        <v>84.59999999999999</v>
      </c>
      <c r="H1026" s="90" t="n">
        <v>0</v>
      </c>
      <c r="I1026" s="90" t="n">
        <v>20.2</v>
      </c>
    </row>
    <row r="1027">
      <c r="A1027" s="65" t="inlineStr">
        <is>
          <t>551009</t>
        </is>
      </c>
      <c r="B1027" s="68" t="inlineStr">
        <is>
          <t>숙박 및 음식점업</t>
        </is>
      </c>
      <c r="C1027" s="68" t="inlineStr">
        <is>
          <t>숙박업</t>
        </is>
      </c>
      <c r="D1027" s="68" t="inlineStr">
        <is>
          <t>일반 및 생활 숙박시설 운영업</t>
        </is>
      </c>
      <c r="E1027" s="68" t="inlineStr">
        <is>
          <t>여관업</t>
        </is>
      </c>
      <c r="F1027" s="68" t="inlineStr">
        <is>
          <t>◦여인숙</t>
        </is>
      </c>
      <c r="G1027" s="90" t="n">
        <v>86</v>
      </c>
      <c r="H1027" s="90" t="n">
        <v>0</v>
      </c>
      <c r="I1027" s="90" t="n">
        <v>21</v>
      </c>
    </row>
    <row r="1028">
      <c r="A1028" s="65" t="inlineStr">
        <is>
          <t>551010</t>
        </is>
      </c>
      <c r="B1028" s="68" t="inlineStr">
        <is>
          <t>숙박 및 음식점업</t>
        </is>
      </c>
      <c r="C1028" s="68" t="inlineStr">
        <is>
          <t>숙박업</t>
        </is>
      </c>
      <c r="D1028" s="68" t="inlineStr">
        <is>
          <t>일반 및 생활 숙박시설 운영업</t>
        </is>
      </c>
      <c r="E1028" s="68" t="inlineStr">
        <is>
          <t>휴양 콘도 운영업</t>
        </is>
      </c>
      <c r="F1028" s="68" t="inlineStr">
        <is>
          <t>◦휴가센터 및 휴식소 운영</t>
        </is>
      </c>
      <c r="G1028" s="90" t="n">
        <v>84.90000000000001</v>
      </c>
      <c r="H1028" s="90" t="n">
        <v>0</v>
      </c>
      <c r="I1028" s="90" t="n">
        <v>21.2</v>
      </c>
    </row>
    <row r="1029">
      <c r="A1029" s="65" t="inlineStr">
        <is>
          <t>551015</t>
        </is>
      </c>
      <c r="B1029" s="68" t="inlineStr">
        <is>
          <t>숙박 및 음식점업</t>
        </is>
      </c>
      <c r="C1029" s="68" t="inlineStr">
        <is>
          <t>숙박업</t>
        </is>
      </c>
      <c r="D1029" s="68" t="inlineStr">
        <is>
          <t>일반 및 생활 숙박시설 운영업</t>
        </is>
      </c>
      <c r="E1029" s="68" t="inlineStr">
        <is>
          <t>야영장업</t>
        </is>
      </c>
      <c r="F1029" s="68" t="inlineStr">
        <is>
          <t xml:space="preserve">◦야영에 적합한 시설 및 설비 등을 갖추고 야영 편의 시설을 사용자(이용자, 관광객 등)에게 제공하는 산업활동을 말한다.
&lt;예 시&gt;
·일반 야영장 운영              ·자동차 야영장 운영
</t>
        </is>
      </c>
      <c r="G1029" s="90" t="n">
        <v>87.40000000000001</v>
      </c>
      <c r="H1029" s="90" t="n">
        <v>0</v>
      </c>
      <c r="I1029" s="90" t="n">
        <v>23.3</v>
      </c>
    </row>
    <row r="1030">
      <c r="A1030" s="65" t="inlineStr">
        <is>
          <t>551016</t>
        </is>
      </c>
      <c r="B1030" s="68" t="inlineStr">
        <is>
          <t>숙박 및 음식점업</t>
        </is>
      </c>
      <c r="C1030" s="68" t="inlineStr">
        <is>
          <t>숙박업</t>
        </is>
      </c>
      <c r="D1030" s="68" t="inlineStr">
        <is>
          <t>기타 숙박업</t>
        </is>
      </c>
      <c r="E1030" s="68" t="inlineStr">
        <is>
          <t>기숙사 및 고시원 운영업</t>
        </is>
      </c>
      <c r="F1030" s="68" t="inlineStr">
        <is>
          <t>◦숙식을 함께 제공하는 기숙사 및 고시원을 운영하는 산업활동을 말한다. 기숙사 운영은 일반적으로 특정 학교, 회사 및 단체 소속원을 대상으로 하는 반면, 고시원은 일반인을 대상으로 서비스를 제공한다.
&lt;예 시&gt;
·학교 기숙사 운영
·회사 기숙사 운영
·고시원 운영</t>
        </is>
      </c>
      <c r="G1030" s="90" t="n">
        <v>87.09999999999999</v>
      </c>
      <c r="H1030" s="90" t="n">
        <v>0</v>
      </c>
      <c r="I1030" s="90" t="n">
        <v>23</v>
      </c>
    </row>
    <row r="1031">
      <c r="A1031" s="65" t="inlineStr">
        <is>
          <t>551017</t>
        </is>
      </c>
      <c r="B1031" s="68" t="inlineStr">
        <is>
          <t>숙박 및 음식점업</t>
        </is>
      </c>
      <c r="C1031" s="68" t="inlineStr">
        <is>
          <t>숙박업</t>
        </is>
      </c>
      <c r="D1031" s="68" t="inlineStr">
        <is>
          <t>기타 숙박업</t>
        </is>
      </c>
      <c r="E1031" s="68" t="inlineStr">
        <is>
          <t>그 외 기타 숙박업</t>
        </is>
      </c>
      <c r="F1031" s="68" t="inlineStr">
        <is>
          <t>◦약정 기간 동안 식사와 숙박 장소를 함께 제공하는 하숙업이나 기타 분류 안된 숙박시설을 운영하는 산업활동을 말한다.
&lt;예 시&gt;
·하숙업 운영
&lt;제 외&gt;
·숙식을 제공하지 않는 독서실 운영(923100)
·숙식을 함께 제공하는 고시원(551016)</t>
        </is>
      </c>
      <c r="G1031" s="90" t="n">
        <v>87.90000000000001</v>
      </c>
      <c r="H1031" s="90" t="n">
        <v>0</v>
      </c>
      <c r="I1031" s="90" t="n">
        <v>22.6</v>
      </c>
    </row>
    <row r="1032">
      <c r="A1032" s="65" t="inlineStr">
        <is>
          <t>552101</t>
        </is>
      </c>
      <c r="B1032" s="68" t="inlineStr">
        <is>
          <t>숙박 및 음식점업</t>
        </is>
      </c>
      <c r="C1032" s="68" t="inlineStr">
        <is>
          <t>음식점 및 주점업</t>
        </is>
      </c>
      <c r="D1032" s="68" t="inlineStr">
        <is>
          <t>한식 음식점업</t>
        </is>
      </c>
      <c r="E1032" s="68" t="inlineStr">
        <is>
          <t>한식 일반 음식점업</t>
        </is>
      </c>
      <c r="F1032" s="68" t="inlineStr">
        <is>
          <t>◦백반류, 죽류, 찌개류(국, 탕, 전골), 찜류 등 한식 일반 음식을 제공하는 산업활동을 말한다. 죽류, 찌개류 및 찜류는 육류 또는 해산물이 주재료가 되는 경우를 포함한다.
&lt;예 시&gt;
·설렁탕집
·해물탕집
·해장국집
·보쌈집
·일반 한식 전문 뷔페</t>
        </is>
      </c>
      <c r="G1032" s="90" t="n">
        <v>89.7</v>
      </c>
      <c r="H1032" s="90" t="n">
        <v>0</v>
      </c>
      <c r="I1032" s="90" t="n">
        <v>11.4</v>
      </c>
    </row>
    <row r="1033">
      <c r="A1033" s="65" t="inlineStr">
        <is>
          <t>552102</t>
        </is>
      </c>
      <c r="B1033" s="68" t="inlineStr">
        <is>
          <t>숙박 및 음식점업</t>
        </is>
      </c>
      <c r="C1033" s="68" t="inlineStr">
        <is>
          <t>음식점 및 주점업</t>
        </is>
      </c>
      <c r="D1033" s="68" t="inlineStr">
        <is>
          <t>외국식 음식점업</t>
        </is>
      </c>
      <c r="E1033" s="68" t="inlineStr">
        <is>
          <t>중식 음식점업</t>
        </is>
      </c>
      <c r="F1033" s="68" t="inlineStr">
        <is>
          <t>◦중국식 음식을 제공하는 산업활동을 말한다.</t>
        </is>
      </c>
      <c r="G1033" s="90" t="n">
        <v>88.40000000000001</v>
      </c>
      <c r="H1033" s="90" t="n">
        <v>0</v>
      </c>
      <c r="I1033" s="90" t="n">
        <v>12</v>
      </c>
    </row>
    <row r="1034">
      <c r="A1034" s="65" t="inlineStr">
        <is>
          <t>552103</t>
        </is>
      </c>
      <c r="B1034" s="68" t="inlineStr">
        <is>
          <t>숙박 및 음식점업</t>
        </is>
      </c>
      <c r="C1034" s="68" t="inlineStr">
        <is>
          <t>음식점 및 주점업</t>
        </is>
      </c>
      <c r="D1034" s="68" t="inlineStr">
        <is>
          <t>외국식 음식점업</t>
        </is>
      </c>
      <c r="E1034" s="68" t="inlineStr">
        <is>
          <t>일식 음식점업</t>
        </is>
      </c>
      <c r="F1034" s="68" t="inlineStr">
        <is>
          <t>◦정통 일본식 음식을 전문적으로 제공하는 산업활동을 말한다.
&lt;예 시&gt;
·초밥집(일식 전문점)
·일식 횟집
·일식 구이 전문점(로바다야끼)
·일식 우동 전문점
&lt;제 외&gt;
·한국식으로 운영되는 횟집(552116)</t>
        </is>
      </c>
      <c r="G1034" s="90" t="n">
        <v>86.7</v>
      </c>
      <c r="H1034" s="90" t="n">
        <v>0</v>
      </c>
      <c r="I1034" s="90" t="n">
        <v>11.5</v>
      </c>
    </row>
    <row r="1035">
      <c r="A1035" s="65" t="inlineStr">
        <is>
          <t>552104</t>
        </is>
      </c>
      <c r="B1035" s="68" t="inlineStr">
        <is>
          <t>숙박 및 음식점업</t>
        </is>
      </c>
      <c r="C1035" s="68" t="inlineStr">
        <is>
          <t>음식점 및 주점업</t>
        </is>
      </c>
      <c r="D1035" s="68" t="inlineStr">
        <is>
          <t>외국식 음식점업</t>
        </is>
      </c>
      <c r="E1035" s="68" t="inlineStr">
        <is>
          <t>서양식 음식점업</t>
        </is>
      </c>
      <c r="F1035" s="68" t="inlineStr">
        <is>
          <t>◦유럽 및 미국 등에서 발달한 서양식 음식을 제공하는 산업활동을 말한다.
&lt;예 시&gt;
·서양식 레스토랑
·서양식 패밀리 레스토랑
·이탈리아 음식점</t>
        </is>
      </c>
      <c r="G1035" s="90" t="n">
        <v>87.40000000000001</v>
      </c>
      <c r="H1035" s="90" t="n">
        <v>0</v>
      </c>
      <c r="I1035" s="90" t="n">
        <v>12.1</v>
      </c>
    </row>
    <row r="1036">
      <c r="A1036" s="65" t="inlineStr">
        <is>
          <t>552105</t>
        </is>
      </c>
      <c r="B1036" s="68" t="inlineStr">
        <is>
          <t>숙박 및 음식점업</t>
        </is>
      </c>
      <c r="C1036" s="68" t="inlineStr">
        <is>
          <t>음식점 및 주점업</t>
        </is>
      </c>
      <c r="D1036" s="68" t="inlineStr">
        <is>
          <t>출장 및 이동 음식점업</t>
        </is>
      </c>
      <c r="E1036" s="68" t="inlineStr">
        <is>
          <t>출장 음식 서비스업</t>
        </is>
      </c>
      <c r="F1036" s="68" t="inlineStr">
        <is>
          <t>◦파티, 오찬, 연회 등의 행사시에 고객이 지정한 장소에 출장하여 주문한 음식물을 조리하여 제공하는 산업활동을 말한다.
&lt;예 시&gt;
·출장 음식 서비스
·출장 뷔페음식 서비스
·독립적인 식당차 운영</t>
        </is>
      </c>
      <c r="G1036" s="90" t="n">
        <v>86</v>
      </c>
      <c r="H1036" s="90" t="n">
        <v>0</v>
      </c>
      <c r="I1036" s="90" t="n">
        <v>13.1</v>
      </c>
    </row>
    <row r="1037">
      <c r="A1037" s="65" t="inlineStr">
        <is>
          <t>552107</t>
        </is>
      </c>
      <c r="B1037" s="68" t="inlineStr">
        <is>
          <t>숙박 및 음식점업</t>
        </is>
      </c>
      <c r="C1037" s="68" t="inlineStr">
        <is>
          <t>음식점 및 주점업</t>
        </is>
      </c>
      <c r="D1037" s="68" t="inlineStr">
        <is>
          <t>피자, 햄버거 및 치킨 전문점</t>
        </is>
      </c>
      <c r="E1037" s="68" t="inlineStr">
        <is>
          <t>치킨 전문점</t>
        </is>
      </c>
      <c r="F1037" s="68" t="inlineStr">
        <is>
          <t>◦양념 치킨, 프라이드 치킨 등 치킨 전문점을 운영하는 산업활동을 말한다.
&lt;예 시&gt;
·양념 치킨 전문점
·프라이드 치킨 전문점
&lt;제 외&gt;
·주류와 치킨을 함께 판매하는 경우 주된 산업활동에 따라 분류
·치킨과 햄버거를 함께 판매하는 경우 주된 산업활동에 따라 분류</t>
        </is>
      </c>
      <c r="G1037" s="90" t="n">
        <v>86.09999999999999</v>
      </c>
      <c r="H1037" s="90" t="n">
        <v>0</v>
      </c>
      <c r="I1037" s="90" t="n">
        <v>12.6</v>
      </c>
    </row>
    <row r="1038">
      <c r="A1038" s="65" t="inlineStr">
        <is>
          <t>552108</t>
        </is>
      </c>
      <c r="B1038" s="68" t="inlineStr">
        <is>
          <t>숙박 및 음식점업</t>
        </is>
      </c>
      <c r="C1038" s="68" t="inlineStr">
        <is>
          <t>음식점 및 주점업</t>
        </is>
      </c>
      <c r="D1038" s="68" t="inlineStr">
        <is>
          <t>김밥 및 기타 간이 음식점업</t>
        </is>
      </c>
      <c r="E1038" s="68" t="inlineStr">
        <is>
          <t>김밥 및 기타 간이 음식점업</t>
        </is>
      </c>
      <c r="F1038" s="68" t="inlineStr">
        <is>
          <t>◦간이 음식(대용식이나 간식, 야식 등)용으로 조리한 김밥, 만두류, 찐빵, 면류(라면, 우동 등), 떡볶이류, 튀김류, 꼬치류 등을 제공하는 음식점을 운영하는 산업활동을 말한다. 간이 음식류를 포장 판매도 하지만 객석 판매가 많은 경우를 포함한다. 이들 음식점은 간단한 메뉴를 동일한 방식으로 신속하게 조리하는 경우가 일반적이다.
&lt;예 시&gt;
·김밥 판매점
·일반 분식점
&lt;제 외&gt;
·객석 없이 간이 음식류를 조리하여 판매하는 경우(552123)
·면류(552114), 만두류(552101)를 전문적으로 요리하여 판매하는 경우
*아이스크림체인점(→552119)</t>
        </is>
      </c>
      <c r="G1038" s="90" t="n">
        <v>91</v>
      </c>
      <c r="H1038" s="90" t="n">
        <v>0</v>
      </c>
      <c r="I1038" s="90" t="n">
        <v>14.2</v>
      </c>
    </row>
    <row r="1039">
      <c r="A1039" s="65" t="inlineStr">
        <is>
          <t>552109</t>
        </is>
      </c>
      <c r="B1039" s="68" t="inlineStr">
        <is>
          <t>숙박 및 음식점업</t>
        </is>
      </c>
      <c r="C1039" s="68" t="inlineStr">
        <is>
          <t>음식점 및 주점업</t>
        </is>
      </c>
      <c r="D1039" s="68" t="inlineStr">
        <is>
          <t>기관 구내식당업</t>
        </is>
      </c>
      <c r="E1039" s="68" t="inlineStr">
        <is>
          <t>기관 구내식당업</t>
        </is>
      </c>
      <c r="F1039" s="68" t="inlineStr">
        <is>
          <t>◦회사, 학교, 공공기관 등의 기관과 계약에 의하여 구내식당을 설치하고 음식을 조리하여 제공하는 산업활동을 말한다.
&lt;제 외&gt;
·회사 등의 기관과 계약에 의하여 별도의 장소에서 다량의 집단 급식용 식사를 조리하여 약정 기간 동안 운송·공급하는 경우(153107)</t>
        </is>
      </c>
      <c r="G1039" s="90" t="n">
        <v>90</v>
      </c>
      <c r="H1039" s="90" t="n">
        <v>0</v>
      </c>
      <c r="I1039" s="90" t="n">
        <v>10.1</v>
      </c>
    </row>
    <row r="1040">
      <c r="A1040" s="65" t="inlineStr">
        <is>
          <t>552114</t>
        </is>
      </c>
      <c r="B1040" s="68" t="inlineStr">
        <is>
          <t>숙박 및 음식점업</t>
        </is>
      </c>
      <c r="C1040" s="68" t="inlineStr">
        <is>
          <t>음식점 및 주점업</t>
        </is>
      </c>
      <c r="D1040" s="68" t="inlineStr">
        <is>
          <t>한식 음식점업</t>
        </is>
      </c>
      <c r="E1040" s="68" t="inlineStr">
        <is>
          <t>한식 면 요리 전문점</t>
        </is>
      </c>
      <c r="F1040" s="68" t="inlineStr">
        <is>
          <t>◦냉면, 칼국수, 국수 등 한식 면 요리 음식을 전문적으로 제공하는 산업활동을 말한다.
&lt;예 시&gt;
·냉면 전문점
·칼국수 전문점
&lt;제 외&gt;
·간이 음식 형태로 제공하는 면 요리 음식점(552108)</t>
        </is>
      </c>
      <c r="G1040" s="90" t="n">
        <v>89.7</v>
      </c>
      <c r="H1040" s="90" t="n">
        <v>0</v>
      </c>
      <c r="I1040" s="90" t="n">
        <v>13.2</v>
      </c>
    </row>
    <row r="1041">
      <c r="A1041" s="65" t="inlineStr">
        <is>
          <t>552115</t>
        </is>
      </c>
      <c r="B1041" s="68" t="inlineStr">
        <is>
          <t>숙박 및 음식점업</t>
        </is>
      </c>
      <c r="C1041" s="68" t="inlineStr">
        <is>
          <t>음식점 및 주점업</t>
        </is>
      </c>
      <c r="D1041" s="68" t="inlineStr">
        <is>
          <t>한식 음식점업</t>
        </is>
      </c>
      <c r="E1041" s="68" t="inlineStr">
        <is>
          <t>한식 육류 요리 전문점</t>
        </is>
      </c>
      <c r="F1041" s="68" t="inlineStr">
        <is>
          <t>◦쇠고기, 돼지고기, 닭고기, 오리고기 등 육류 구이 및 횟 요리를 전문적으로 제공하는 산업활동을 말한다.</t>
        </is>
      </c>
      <c r="G1041" s="90" t="n">
        <v>89.7</v>
      </c>
      <c r="H1041" s="90" t="n">
        <v>0</v>
      </c>
      <c r="I1041" s="90" t="n">
        <v>11</v>
      </c>
    </row>
    <row r="1042">
      <c r="A1042" s="65" t="inlineStr">
        <is>
          <t>552116</t>
        </is>
      </c>
      <c r="B1042" s="68" t="inlineStr">
        <is>
          <t>숙박 및 음식점업</t>
        </is>
      </c>
      <c r="C1042" s="68" t="inlineStr">
        <is>
          <t>음식점 및 주점업</t>
        </is>
      </c>
      <c r="D1042" s="68" t="inlineStr">
        <is>
          <t>한식 음식점업</t>
        </is>
      </c>
      <c r="E1042" s="68" t="inlineStr">
        <is>
          <t>한식 해산물 요리 전문점</t>
        </is>
      </c>
      <c r="F1042" s="68" t="inlineStr">
        <is>
          <t>◦한국식 횟집, 생선 구이점 등 한식 해산물 요리를 제공하는 산업활동을 말한다.
&lt;예 시&gt;
·한국식 횟집
·일식 이외의 해산물 요리 전문점
·객실이 없는 생선회센터
&lt;제 외&gt;
·해산물 찜류, 탕류, 죽류 전문점(552101)</t>
        </is>
      </c>
      <c r="G1042" s="90" t="n">
        <v>89.7</v>
      </c>
      <c r="H1042" s="90" t="n">
        <v>0</v>
      </c>
      <c r="I1042" s="90" t="n">
        <v>11.1</v>
      </c>
    </row>
    <row r="1043">
      <c r="A1043" s="65" t="inlineStr">
        <is>
          <t>552117</t>
        </is>
      </c>
      <c r="B1043" s="68" t="inlineStr">
        <is>
          <t>숙박 및 음식점업</t>
        </is>
      </c>
      <c r="C1043" s="68" t="inlineStr">
        <is>
          <t>음식점 및 주점업</t>
        </is>
      </c>
      <c r="D1043" s="68" t="inlineStr">
        <is>
          <t>외국식 음식점업</t>
        </is>
      </c>
      <c r="E1043" s="68" t="inlineStr">
        <is>
          <t>기타 외국식 음식점업</t>
        </is>
      </c>
      <c r="F1043" s="68" t="inlineStr">
        <is>
          <t>◦동남아, 인도 등 기타 외국식 음식점업을 운영하는 산업활동을 말한다.
&lt;예 시&gt;
·베트남 음식점
·인도 음식점</t>
        </is>
      </c>
      <c r="G1043" s="90" t="n">
        <v>86.7</v>
      </c>
      <c r="H1043" s="90" t="n">
        <v>0</v>
      </c>
      <c r="I1043" s="90" t="n">
        <v>14.6</v>
      </c>
    </row>
    <row r="1044">
      <c r="A1044" s="65" t="inlineStr">
        <is>
          <t>552118</t>
        </is>
      </c>
      <c r="B1044" s="68" t="inlineStr">
        <is>
          <t>숙박 및 음식점업</t>
        </is>
      </c>
      <c r="C1044" s="68" t="inlineStr">
        <is>
          <t>음식점 및 주점업</t>
        </is>
      </c>
      <c r="D1044" s="68" t="inlineStr">
        <is>
          <t>피자, 햄버거 및 치킨 전문점</t>
        </is>
      </c>
      <c r="E1044" s="68" t="inlineStr">
        <is>
          <t>피자, 햄버거, 샌드위치 및 유사 음식점업</t>
        </is>
      </c>
      <c r="F1044" s="68" t="inlineStr">
        <is>
          <t>◦피자, 햄버거, 샌드위치, 토스트 및 유사 음식을 직접 조리하여 일반 소비자에게 판매하는 산업활동을 말한다.
&lt;예 시&gt;
·피자 전문점
·샌드위치 전문점
·햄버거 전문점
·토스트 전문점
&lt;제 외&gt;
*간이양식(→552309)</t>
        </is>
      </c>
      <c r="G1044" s="90" t="n">
        <v>86.09999999999999</v>
      </c>
      <c r="H1044" s="90" t="n">
        <v>0</v>
      </c>
      <c r="I1044" s="90" t="n">
        <v>16.3</v>
      </c>
    </row>
    <row r="1045">
      <c r="A1045" s="65" t="inlineStr">
        <is>
          <t>552119</t>
        </is>
      </c>
      <c r="B1045" s="68" t="inlineStr">
        <is>
          <t>숙박 및 음식점업</t>
        </is>
      </c>
      <c r="C1045" s="68" t="inlineStr">
        <is>
          <t>음식점 및 주점업</t>
        </is>
      </c>
      <c r="D1045" s="68" t="inlineStr">
        <is>
          <t>김밥 및 기타 간이 음식점업</t>
        </is>
      </c>
      <c r="E1045" s="68" t="inlineStr">
        <is>
          <t>김밥 및 기타 간이 음식점업</t>
        </is>
      </c>
      <c r="F1045" s="68" t="inlineStr">
        <is>
          <t>◦아이스크림체인점</t>
        </is>
      </c>
      <c r="G1045" s="90" t="n">
        <v>86.09999999999999</v>
      </c>
      <c r="H1045" s="90" t="n">
        <v>0</v>
      </c>
      <c r="I1045" s="90" t="n">
        <v>10.2</v>
      </c>
    </row>
    <row r="1046">
      <c r="A1046" s="65" t="inlineStr">
        <is>
          <t>552123</t>
        </is>
      </c>
      <c r="B1046" s="68" t="inlineStr">
        <is>
          <t>숙박 및 음식점업</t>
        </is>
      </c>
      <c r="C1046" s="68" t="inlineStr">
        <is>
          <t>음식점 및 주점업</t>
        </is>
      </c>
      <c r="D1046" s="68" t="inlineStr">
        <is>
          <t>김밥 및 기타 간이 음식점업</t>
        </is>
      </c>
      <c r="E1046" s="68" t="inlineStr">
        <is>
          <t>간이 음식 포장 판매 전문점</t>
        </is>
      </c>
      <c r="F1046" s="68" t="inlineStr">
        <is>
          <t>◦고정된 장소에서 대용식이나 간식 등 간이 음식류를 조리하여 포장 판매하거나 일부 객석은 있으나 포장 판매 위주로 음식점을 운영하는 산업활동을 말한다.
&lt;제 외&gt;
*고속도로 휴게소(→552305)</t>
        </is>
      </c>
      <c r="G1046" s="90" t="n">
        <v>91</v>
      </c>
      <c r="H1046" s="90" t="n">
        <v>0</v>
      </c>
      <c r="I1046" s="90" t="n">
        <v>14.9</v>
      </c>
    </row>
    <row r="1047">
      <c r="A1047" s="65" t="inlineStr">
        <is>
          <t>552201</t>
        </is>
      </c>
      <c r="B1047" s="68" t="inlineStr">
        <is>
          <t>숙박 및 음식점업</t>
        </is>
      </c>
      <c r="C1047" s="68" t="inlineStr">
        <is>
          <t>음식점 및 주점업</t>
        </is>
      </c>
      <c r="D1047" s="68" t="inlineStr">
        <is>
          <t>주점업</t>
        </is>
      </c>
      <c r="E1047" s="68" t="inlineStr">
        <is>
          <t>일반 유흥 주점업</t>
        </is>
      </c>
      <c r="F1047" s="68" t="inlineStr">
        <is>
          <t>◦독립된 객실에서 고급주류(양주, 맥주 등)와 그에 따른 안주를 제공하고 접객원으로 하여금 객을 유흥케 하는 고급주점
&lt;제 외&gt;
*바, 비어홀, 극장식 식당(→552202)
*관광음식점, 외국인 전용 유흥음식점(→552204)
*룸살롱, 빠, 나이트클럽, 외국인전용 유흥주점 이외의 기타 유흥주점(→552206)
*단란주점(→552207)</t>
        </is>
      </c>
      <c r="G1047" s="90" t="n">
        <v>46</v>
      </c>
      <c r="H1047" s="90" t="n">
        <v>0</v>
      </c>
      <c r="I1047" s="90" t="n">
        <v>10.7</v>
      </c>
    </row>
    <row r="1048">
      <c r="A1048" s="65" t="inlineStr">
        <is>
          <t>552202</t>
        </is>
      </c>
      <c r="B1048" s="68" t="inlineStr">
        <is>
          <t>숙박 및 음식점업</t>
        </is>
      </c>
      <c r="C1048" s="68" t="inlineStr">
        <is>
          <t>음식점 및 주점업</t>
        </is>
      </c>
      <c r="D1048" s="68" t="inlineStr">
        <is>
          <t>주점업</t>
        </is>
      </c>
      <c r="E1048" s="68" t="inlineStr">
        <is>
          <t>일반 유흥 주점업</t>
        </is>
      </c>
      <c r="F1048" s="68" t="inlineStr">
        <is>
          <t>◦빠
·「식품위생법시행령」 제22조에 따른 유흥종사자(유흥접객원 이하 유흥종사자라 한다)가 있는 서양식 주점으로서 룸살롱이 아닌 곳
◦스탠드 빠
·「개별소비세법 시행령」 제1조에 따른 과세유흥장소에 해당하는 스탠드 빠
◦비어홀
·주로 맥주를 판매하는 주점으로서 유흥종사자가 있는 곳
◦극장식 식당
·유흥종사자를 두고 주류와 음식물을 제공하며 노래, 연주 및 춤 등을 감상할 수 있는 음식점</t>
        </is>
      </c>
      <c r="G1048" s="90" t="n">
        <v>64.59999999999999</v>
      </c>
      <c r="H1048" s="90" t="n">
        <v>0</v>
      </c>
      <c r="I1048" s="90" t="n">
        <v>15.2</v>
      </c>
    </row>
    <row r="1049">
      <c r="A1049" s="65" t="inlineStr">
        <is>
          <t>552203</t>
        </is>
      </c>
      <c r="B1049" s="68" t="inlineStr">
        <is>
          <t>숙박 및 음식점업</t>
        </is>
      </c>
      <c r="C1049" s="68" t="inlineStr">
        <is>
          <t>음식점 및 주점업</t>
        </is>
      </c>
      <c r="D1049" s="68" t="inlineStr">
        <is>
          <t>주점업</t>
        </is>
      </c>
      <c r="E1049" s="68" t="inlineStr">
        <is>
          <t>무도 유흥 주점업</t>
        </is>
      </c>
      <c r="F1049" s="68" t="inlineStr">
        <is>
          <t>◦무도시설을 갖추고 술을 판매하는 무도 유흥 주점을 말한다.
&lt;예 시&gt;
·무도 유흥 주점
·카바레
·극장식 주점(식당) 클럽
·나이트클럽
&lt;제 외&gt;
·무도장 및 콜라텍 운영(921904)</t>
        </is>
      </c>
      <c r="G1049" s="90" t="n">
        <v>56.5</v>
      </c>
      <c r="H1049" s="90" t="n">
        <v>0</v>
      </c>
      <c r="I1049" s="90" t="n">
        <v>12.5</v>
      </c>
    </row>
    <row r="1050">
      <c r="A1050" s="65" t="inlineStr">
        <is>
          <t>552204</t>
        </is>
      </c>
      <c r="B1050" s="68" t="inlineStr">
        <is>
          <t>숙박 및 음식점업</t>
        </is>
      </c>
      <c r="C1050" s="68" t="inlineStr">
        <is>
          <t>음식점 및 주점업</t>
        </is>
      </c>
      <c r="D1050" s="68" t="inlineStr">
        <is>
          <t>주점업</t>
        </is>
      </c>
      <c r="E1050" s="68" t="inlineStr">
        <is>
          <t>일반 유흥 주점업</t>
        </is>
      </c>
      <c r="F1050" s="68" t="inlineStr">
        <is>
          <t>◦관광음식점, 외국인 전용 유흥음식점
·「관광진흥법 시행령」 제2조에 따른 관광음식점의 외국인이용 수입금액</t>
        </is>
      </c>
      <c r="G1050" s="90" t="n">
        <v>84.2</v>
      </c>
      <c r="H1050" s="90" t="n">
        <v>0</v>
      </c>
      <c r="I1050" s="90" t="n">
        <v>20.5</v>
      </c>
    </row>
    <row r="1051">
      <c r="A1051" s="65" t="inlineStr">
        <is>
          <t>552205</t>
        </is>
      </c>
      <c r="B1051" s="68" t="inlineStr">
        <is>
          <t>숙박 및 음식점업</t>
        </is>
      </c>
      <c r="C1051" s="68" t="inlineStr">
        <is>
          <t>음식점 및 주점업</t>
        </is>
      </c>
      <c r="D1051" s="68" t="inlineStr">
        <is>
          <t>주점업</t>
        </is>
      </c>
      <c r="E1051" s="68" t="inlineStr">
        <is>
          <t>생맥주 전문점</t>
        </is>
      </c>
      <c r="F1051" s="68" t="inlineStr">
        <is>
          <t>◦접객시설을 갖추고 대중에게 주로 생맥주를 전문적으로 판매하는 주점을 말한다.
&lt;예 시&gt;
·생맥주집(호프집)
&lt;제 외&gt;
·생맥주 이외 맥주 판매 주점(552208~552210)</t>
        </is>
      </c>
      <c r="G1051" s="90" t="n">
        <v>88.2</v>
      </c>
      <c r="H1051" s="90" t="n">
        <v>0</v>
      </c>
      <c r="I1051" s="90" t="n">
        <v>12.6</v>
      </c>
    </row>
    <row r="1052">
      <c r="A1052" s="65" t="inlineStr">
        <is>
          <t>552206</t>
        </is>
      </c>
      <c r="B1052" s="68" t="inlineStr">
        <is>
          <t>숙박 및 음식점업</t>
        </is>
      </c>
      <c r="C1052" s="68" t="inlineStr">
        <is>
          <t>음식점 및 주점업</t>
        </is>
      </c>
      <c r="D1052" s="68" t="inlineStr">
        <is>
          <t>주점업</t>
        </is>
      </c>
      <c r="E1052" s="68" t="inlineStr">
        <is>
          <t>일반 유흥 주점업</t>
        </is>
      </c>
      <c r="F1052" s="68" t="inlineStr">
        <is>
          <t>◦식품위생법 시행령 제21조 제8호 제라목에 따른 유흥주점으로 552201(룸살롱), 552202(빠 등), 552203(나이트클럽 등), 552204(외국인전용 유흥주점 등) 이외의 기타 유흥주점</t>
        </is>
      </c>
      <c r="G1052" s="90" t="n">
        <v>56.5</v>
      </c>
      <c r="H1052" s="90" t="n">
        <v>0</v>
      </c>
      <c r="I1052" s="90" t="n">
        <v>12.9</v>
      </c>
    </row>
    <row r="1053">
      <c r="A1053" s="65" t="inlineStr">
        <is>
          <t>552207</t>
        </is>
      </c>
      <c r="B1053" s="68" t="inlineStr">
        <is>
          <t>숙박 및 음식점업</t>
        </is>
      </c>
      <c r="C1053" s="68" t="inlineStr">
        <is>
          <t>음식점 및 주점업</t>
        </is>
      </c>
      <c r="D1053" s="68" t="inlineStr">
        <is>
          <t>주점업</t>
        </is>
      </c>
      <c r="E1053" s="68" t="inlineStr">
        <is>
          <t>기타 주점업</t>
        </is>
      </c>
      <c r="F1053" s="68" t="inlineStr">
        <is>
          <t>◦단란주점
 「식품위생법 시행령」 제23조에 따라 허가를 받은 단란주점업으로서 주로 주류를 조리·판매하는 영업으로서 손님이 노래를 부르는 행위가 허용되는 업
&lt;제 외&gt;
·단란주점업 허가를 받고도 접객원 등 유흥종사자를 두거나 독립된 객실(「식품위생법 시행규칙」에 따른 업종별 시설기준 해당자는 제외)에서 사실상 룸싸롱과 유사한 영업을 하는 주점은 룸싸롱(552201) 적용</t>
        </is>
      </c>
      <c r="G1053" s="90" t="n">
        <v>58.4</v>
      </c>
      <c r="H1053" s="90" t="n">
        <v>0</v>
      </c>
      <c r="I1053" s="90" t="n">
        <v>13.1</v>
      </c>
    </row>
    <row r="1054">
      <c r="A1054" s="65" t="inlineStr">
        <is>
          <t>552208</t>
        </is>
      </c>
      <c r="B1054" s="68" t="inlineStr">
        <is>
          <t>숙박 및 음식점업</t>
        </is>
      </c>
      <c r="C1054" s="68" t="inlineStr">
        <is>
          <t>음식점 및 주점업</t>
        </is>
      </c>
      <c r="D1054" s="68" t="inlineStr">
        <is>
          <t>주점업</t>
        </is>
      </c>
      <c r="E1054" s="68" t="inlineStr">
        <is>
          <t>기타 주점업</t>
        </is>
      </c>
      <c r="F1054" s="68" t="inlineStr">
        <is>
          <t>◦기타 서양식주점
·독립된 객실과 접객원이 없이 양주(맥주 및 국산양주 포함)와 그에 따른 안주를 제공하는 카페 등의 서양식 주점
&lt;제 외&gt;
·카페·빠·비어홀 등의 명칭으로 독립된 객실과 접객원을 둔 사실상의 룸싸롱은 룸싸롱(552201) 적용</t>
        </is>
      </c>
      <c r="G1054" s="90" t="n">
        <v>82.2</v>
      </c>
      <c r="H1054" s="90" t="n">
        <v>0</v>
      </c>
      <c r="I1054" s="90" t="n">
        <v>15.4</v>
      </c>
    </row>
    <row r="1055">
      <c r="A1055" s="65" t="inlineStr">
        <is>
          <t>552209</t>
        </is>
      </c>
      <c r="B1055" s="68" t="inlineStr">
        <is>
          <t>숙박 및 음식점업</t>
        </is>
      </c>
      <c r="C1055" s="68" t="inlineStr">
        <is>
          <t>음식점 및 주점업</t>
        </is>
      </c>
      <c r="D1055" s="68" t="inlineStr">
        <is>
          <t>주점업</t>
        </is>
      </c>
      <c r="E1055" s="68" t="inlineStr">
        <is>
          <t>기타 주점업</t>
        </is>
      </c>
      <c r="F1055" s="68" t="inlineStr">
        <is>
          <t>◦생맥주 전문점을 제외한 대폿집, 선술집 등과 같이 접객시설을 갖추고 대중에게 술을 판매하는 기타의 주점을 말한다.
&lt;예 시&gt;
·막걸리집
·토속주점
&lt;제 외&gt;
*소주방(→552210)
*기타 서양식주점(→552208)</t>
        </is>
      </c>
      <c r="G1055" s="90" t="n">
        <v>88.7</v>
      </c>
      <c r="H1055" s="90" t="n">
        <v>0</v>
      </c>
      <c r="I1055" s="90" t="n">
        <v>11.5</v>
      </c>
    </row>
    <row r="1056">
      <c r="A1056" s="65" t="inlineStr">
        <is>
          <t>552210</t>
        </is>
      </c>
      <c r="B1056" s="68" t="inlineStr">
        <is>
          <t>숙박 및 음식점업</t>
        </is>
      </c>
      <c r="C1056" s="68" t="inlineStr">
        <is>
          <t>음식점 및 주점업</t>
        </is>
      </c>
      <c r="D1056" s="68" t="inlineStr">
        <is>
          <t>주점업</t>
        </is>
      </c>
      <c r="E1056" s="68" t="inlineStr">
        <is>
          <t>기타 주점업</t>
        </is>
      </c>
      <c r="F1056" s="68" t="inlineStr">
        <is>
          <t>◦소주방</t>
        </is>
      </c>
      <c r="G1056" s="90" t="n">
        <v>88.2</v>
      </c>
      <c r="H1056" s="90" t="n">
        <v>0</v>
      </c>
      <c r="I1056" s="90" t="n">
        <v>13.3</v>
      </c>
    </row>
    <row r="1057">
      <c r="A1057" s="65" t="inlineStr">
        <is>
          <t>552211</t>
        </is>
      </c>
      <c r="B1057" s="68" t="inlineStr">
        <is>
          <t>숙박 및 음식점업</t>
        </is>
      </c>
      <c r="C1057" s="68" t="inlineStr">
        <is>
          <t>음식점 및 주점업</t>
        </is>
      </c>
      <c r="D1057" s="68" t="inlineStr">
        <is>
          <t>주점업</t>
        </is>
      </c>
      <c r="E1057" s="68" t="inlineStr">
        <is>
          <t>기타 주점업</t>
        </is>
      </c>
      <c r="F1057" s="68" t="inlineStr">
        <is>
          <t xml:space="preserve">◦카드게임 시설을 갖추고 술을 판매하는 주점
&lt;예시&gt; 홀덤펍 </t>
        </is>
      </c>
      <c r="G1057" s="90" t="n">
        <v>64.59999999999999</v>
      </c>
      <c r="H1057" s="90" t="n">
        <v>0</v>
      </c>
      <c r="I1057" s="90" t="n">
        <v>22.6</v>
      </c>
    </row>
    <row r="1058">
      <c r="A1058" s="65" t="inlineStr">
        <is>
          <t>552301</t>
        </is>
      </c>
      <c r="B1058" s="68" t="inlineStr">
        <is>
          <t>숙박 및 음식점업</t>
        </is>
      </c>
      <c r="C1058" s="68" t="inlineStr">
        <is>
          <t>음식점 및 주점업</t>
        </is>
      </c>
      <c r="D1058" s="68" t="inlineStr">
        <is>
          <t>제과점업</t>
        </is>
      </c>
      <c r="E1058" s="68" t="inlineStr">
        <is>
          <t>제과점업</t>
        </is>
      </c>
      <c r="F1058" s="68" t="inlineStr">
        <is>
          <t>◦즉석식의 빵, 케이크, 생과자 등을 직접 구워서 일반 소비자에게 판매하거나 접객시설을 갖추고 구입한 빵, 케이크 등을 직접 소비할 수 있도록 제공하는 산업활동을 말한다. 접객시설을 갖추고 떡류를 제공하는 경우도 포함한다.
&lt;예 시&gt;
·제과점(즉석 식품 중심)
·떡집(음식점 형태)
&lt;제 외&gt;
·접객시설 없이 빵, 케이크 등을 구입하여 일반소비자에게 판매(522061)</t>
        </is>
      </c>
      <c r="G1058" s="90" t="n">
        <v>89.90000000000001</v>
      </c>
      <c r="H1058" s="90" t="n">
        <v>0</v>
      </c>
      <c r="I1058" s="90" t="n">
        <v>11.8</v>
      </c>
    </row>
    <row r="1059">
      <c r="A1059" s="65" t="inlineStr">
        <is>
          <t>552303</t>
        </is>
      </c>
      <c r="B1059" s="68" t="inlineStr">
        <is>
          <t>숙박 및 음식점업</t>
        </is>
      </c>
      <c r="C1059" s="68" t="inlineStr">
        <is>
          <t>음식점 및 주점업</t>
        </is>
      </c>
      <c r="D1059" s="68" t="inlineStr">
        <is>
          <t>비알코올 음료점업</t>
        </is>
      </c>
      <c r="E1059" s="68" t="inlineStr">
        <is>
          <t>커피 전문점</t>
        </is>
      </c>
      <c r="F1059" s="68" t="inlineStr">
        <is>
          <t>◦접객시설을 갖추고 볶은 원두, 가공 커피류 등을 이용하여 생산한 커피 음료를 전문적으로 제공하는 산업활동을 말한다. 접객시설 없이 커피 포장 판매를 전문적으로 하는 음료점도 포함한다.
&lt;예 시&gt;
·커피 전문점
·커피숍
&lt;제 외&gt;
·전통식 다방(인스턴트 커피점)(552307)
·동물카페(552310)</t>
        </is>
      </c>
      <c r="G1059" s="90" t="n">
        <v>87.5</v>
      </c>
      <c r="H1059" s="90" t="n">
        <v>0</v>
      </c>
      <c r="I1059" s="90" t="n">
        <v>15.1</v>
      </c>
    </row>
    <row r="1060">
      <c r="A1060" s="65" t="inlineStr">
        <is>
          <t>552305</t>
        </is>
      </c>
      <c r="B1060" s="68" t="inlineStr">
        <is>
          <t>숙박 및 음식점업</t>
        </is>
      </c>
      <c r="C1060" s="68" t="inlineStr">
        <is>
          <t>음식점 및 주점업</t>
        </is>
      </c>
      <c r="D1060" s="68" t="inlineStr">
        <is>
          <t>김밥 및 기타 간이 음식점업</t>
        </is>
      </c>
      <c r="E1060" s="68" t="inlineStr">
        <is>
          <t>간이 음식 포장 판매 전문점</t>
        </is>
      </c>
      <c r="F1060" s="68" t="inlineStr">
        <is>
          <t>◦고속도로 휴게소
·공항휴게실, 고속도로(국도포함)휴게실, 유원지 등에서 행하는 음식점·다방업·과자점업의 복합적인 형태(「식품위생법 시행령」 제21조)</t>
        </is>
      </c>
      <c r="G1060" s="90" t="n">
        <v>87.09999999999999</v>
      </c>
      <c r="H1060" s="90" t="n">
        <v>0</v>
      </c>
      <c r="I1060" s="90" t="n">
        <v>13.5</v>
      </c>
    </row>
    <row r="1061">
      <c r="A1061" s="65" t="inlineStr">
        <is>
          <t>552307</t>
        </is>
      </c>
      <c r="B1061" s="68" t="inlineStr">
        <is>
          <t>숙박 및 음식점업</t>
        </is>
      </c>
      <c r="C1061" s="68" t="inlineStr">
        <is>
          <t>음식점 및 주점업</t>
        </is>
      </c>
      <c r="D1061" s="68" t="inlineStr">
        <is>
          <t>비알코올 음료점업</t>
        </is>
      </c>
      <c r="E1061" s="68" t="inlineStr">
        <is>
          <t>기타 비알코올 음료점업</t>
        </is>
      </c>
      <c r="F1061" s="68" t="inlineStr">
        <is>
          <t>◦접객시설을 갖추고 주스, 인스턴트 커피, 홍차, 생강차, 쌍화차 등을 만들어 제공하는 산업활동을 말한다. 접객시설 없이 비알코올 음료 포장 판매를 전문적으로 하는 음료점도 포함한다.
&lt;예 시&gt;
·주스 전문점
·찻집
·다방
&lt;제 외&gt;
·동물카페(552310)</t>
        </is>
      </c>
      <c r="G1061" s="90" t="n">
        <v>89</v>
      </c>
      <c r="H1061" s="90" t="n">
        <v>0</v>
      </c>
      <c r="I1061" s="90" t="n">
        <v>15.1</v>
      </c>
    </row>
    <row r="1062">
      <c r="A1062" s="65" t="inlineStr">
        <is>
          <t>552308</t>
        </is>
      </c>
      <c r="B1062" s="68" t="inlineStr">
        <is>
          <t>숙박 및 음식점업</t>
        </is>
      </c>
      <c r="C1062" s="68" t="inlineStr">
        <is>
          <t>음식점 및 주점업</t>
        </is>
      </c>
      <c r="D1062" s="68" t="inlineStr">
        <is>
          <t>출장 및 이동 음식점업</t>
        </is>
      </c>
      <c r="E1062" s="68" t="inlineStr">
        <is>
          <t>이동 음식점업</t>
        </is>
      </c>
      <c r="F1062" s="68" t="inlineStr">
        <is>
          <t>◦제공하는 음식 종류에 관계없이 특정 장소에 고정된 식당을 개설하지 않은 이동식 음식점을 운영하는 산업활동을 말한다.
&lt;예 시&gt;
·이동식 포장마차
·이동식 떡볶이 판매점
·이동식 붕어빵 판매점</t>
        </is>
      </c>
      <c r="G1062" s="90" t="n">
        <v>87.09999999999999</v>
      </c>
      <c r="H1062" s="90" t="n">
        <v>0</v>
      </c>
      <c r="I1062" s="90" t="n">
        <v>13.6</v>
      </c>
    </row>
    <row r="1063">
      <c r="A1063" s="65" t="inlineStr">
        <is>
          <t>552309</t>
        </is>
      </c>
      <c r="B1063" s="68" t="inlineStr">
        <is>
          <t>숙박 및 음식점업</t>
        </is>
      </c>
      <c r="C1063" s="68" t="inlineStr">
        <is>
          <t>음식점 및 주점업</t>
        </is>
      </c>
      <c r="D1063" s="68" t="inlineStr">
        <is>
          <t>피자, 햄버거 및 치킨 전문점</t>
        </is>
      </c>
      <c r="E1063" s="68" t="inlineStr">
        <is>
          <t>피자, 햄버거, 샌드위치 및 유사 음식점업</t>
        </is>
      </c>
      <c r="F1063" s="68" t="inlineStr">
        <is>
          <t>◦간이양식
&lt;예 시&gt;
·휴게실 등과 같이 접객시설을 갖추고 햄버거, 도넛, 치킨, 음료 등을 제공하는 업소</t>
        </is>
      </c>
      <c r="G1063" s="90" t="n">
        <v>87.09999999999999</v>
      </c>
      <c r="H1063" s="90" t="n">
        <v>0</v>
      </c>
      <c r="I1063" s="90" t="n">
        <v>15.2</v>
      </c>
    </row>
    <row r="1064">
      <c r="A1064" s="65" t="inlineStr">
        <is>
          <t>552310</t>
        </is>
      </c>
      <c r="B1064" s="68" t="inlineStr">
        <is>
          <t>숙박 및 음식점업</t>
        </is>
      </c>
      <c r="C1064" s="68" t="inlineStr">
        <is>
          <t>음식점 및 주점업</t>
        </is>
      </c>
      <c r="D1064" s="68" t="inlineStr">
        <is>
          <t>비알코올 음료점업</t>
        </is>
      </c>
      <c r="E1064" s="68" t="inlineStr">
        <is>
          <t>동물카페</t>
        </is>
      </c>
      <c r="F1064" s="68" t="inlineStr">
        <is>
          <t>◦접객시설을 갖추고 커피, 주스 등 비알콜음료나 음식을 제공하며 카페 내에서 동물들을 전시하여 체험할 수 있도록 하고, 반려동물 소유자의 위탁을 받아 반려동물을 영업장 내에서 일시적으로 사육, 훈련 또는 보호하는 산업활동
&lt;예 시&gt;반려견카페,  반려묘카페</t>
        </is>
      </c>
      <c r="G1064" s="90" t="n">
        <v>87.5</v>
      </c>
      <c r="H1064" s="90" t="n">
        <v>0</v>
      </c>
      <c r="I1064" s="90" t="n">
        <v>13.1</v>
      </c>
    </row>
    <row r="1065">
      <c r="A1065" s="65" t="inlineStr">
        <is>
          <t>601000</t>
        </is>
      </c>
      <c r="B1065" s="68" t="inlineStr">
        <is>
          <t>운수 및 창고업</t>
        </is>
      </c>
      <c r="C1065" s="68" t="inlineStr">
        <is>
          <t>육상 운송 및 파이프라인 운송업</t>
        </is>
      </c>
      <c r="D1065" s="68" t="inlineStr">
        <is>
          <t>도시 정기 육상 여객 운송업</t>
        </is>
      </c>
      <c r="E1065" s="68" t="inlineStr">
        <is>
          <t>도시철도 운송업</t>
        </is>
      </c>
      <c r="F1065" s="68" t="inlineStr">
        <is>
          <t>◦도시 및 근교 내에서 노선을 정하고 정기적으로 승객을 도시철도로 운송하는 산업활동을 말한다. 도시철도는 출◦퇴근 등 지역 내의 승객 이동에 이용되므로 승◦하차 구간이 짧고 요금이 저렴하며 일반 대중 교통수단이라는 특징이 있다.
&lt;예 시&gt;
·지하철 운송
·모노레일 운송(도시 및 근교 내)
&lt;제 외&gt;
·도시 간 철도 운송(601001)</t>
        </is>
      </c>
      <c r="G1065" s="90" t="n">
        <v>95.09999999999999</v>
      </c>
      <c r="H1065" s="90" t="n">
        <v>0</v>
      </c>
      <c r="I1065" s="90" t="n">
        <v>24.5</v>
      </c>
    </row>
    <row r="1066">
      <c r="A1066" s="65" t="inlineStr">
        <is>
          <t>601001</t>
        </is>
      </c>
      <c r="B1066" s="68" t="inlineStr">
        <is>
          <t>운수 및 창고업</t>
        </is>
      </c>
      <c r="C1066" s="68" t="inlineStr">
        <is>
          <t>육상 운송 및 파이프라인 운송업</t>
        </is>
      </c>
      <c r="D1066" s="68" t="inlineStr">
        <is>
          <t>철도 운송업</t>
        </is>
      </c>
      <c r="E1066" s="68" t="inlineStr">
        <is>
          <t>철도 여객 운송업</t>
        </is>
      </c>
      <c r="F1066" s="68" t="inlineStr">
        <is>
          <t>◦철도 차량을 이용하여 여객을 운송하는 산업활동(도시철도 제외)을 말한다.
&lt;예 시&gt;
·도시 간 철도 운송
·관광열차 운영
&lt;제 외&gt;
·지하철 및 도시철도 운송(601000)
·철도차량 운행관련 유지 및 단순 보수(630301)
·독립적인 침대차 운영(551006)
·독립적인 식당차 운영(552105)</t>
        </is>
      </c>
      <c r="G1066" s="90" t="n">
        <v>95.09999999999999</v>
      </c>
      <c r="H1066" s="90" t="n">
        <v>0</v>
      </c>
      <c r="I1066" s="90" t="n">
        <v>24.5</v>
      </c>
    </row>
    <row r="1067">
      <c r="A1067" s="65" t="inlineStr">
        <is>
          <t>601002</t>
        </is>
      </c>
      <c r="B1067" s="68" t="inlineStr">
        <is>
          <t>운수 및 창고업</t>
        </is>
      </c>
      <c r="C1067" s="68" t="inlineStr">
        <is>
          <t>육상 운송 및 파이프라인 운송업</t>
        </is>
      </c>
      <c r="D1067" s="68" t="inlineStr">
        <is>
          <t>철도 운송업</t>
        </is>
      </c>
      <c r="E1067" s="68" t="inlineStr">
        <is>
          <t>철도 화물 운송업</t>
        </is>
      </c>
      <c r="F1067" s="68" t="inlineStr">
        <is>
          <t>◦철도 차량을 이용하여 화물을 운송하는 산업활동을 말한다.
&lt;예 시&gt;
·화물 전용 철도 운송
&lt;제 외&gt;
·지하철 및 도시철도 운송(601000)
·철도차량 운행관련 유지 및 단순 보수(630301)
·철도 여객 운송업(601001)</t>
        </is>
      </c>
      <c r="G1067" s="90" t="n">
        <v>95.09999999999999</v>
      </c>
      <c r="H1067" s="90" t="n">
        <v>0</v>
      </c>
      <c r="I1067" s="90" t="n">
        <v>24.5</v>
      </c>
    </row>
    <row r="1068">
      <c r="A1068" s="65" t="inlineStr">
        <is>
          <t>602101</t>
        </is>
      </c>
      <c r="B1068" s="68" t="inlineStr">
        <is>
          <t>운수 및 창고업</t>
        </is>
      </c>
      <c r="C1068" s="68" t="inlineStr">
        <is>
          <t>육상 운송 및 파이프라인 운송업</t>
        </is>
      </c>
      <c r="D1068" s="68" t="inlineStr">
        <is>
          <t>시외버스 운송업</t>
        </is>
      </c>
      <c r="E1068" s="68" t="inlineStr">
        <is>
          <t>시외버스 운송업</t>
        </is>
      </c>
      <c r="F1068" s="68" t="inlineStr">
        <is>
          <t>◦고속버스</t>
        </is>
      </c>
      <c r="G1068" s="90" t="n">
        <v>83</v>
      </c>
      <c r="H1068" s="90" t="n">
        <v>0</v>
      </c>
      <c r="I1068" s="90" t="n">
        <v>21.1</v>
      </c>
    </row>
    <row r="1069">
      <c r="A1069" s="65" t="inlineStr">
        <is>
          <t>602102</t>
        </is>
      </c>
      <c r="B1069" s="68" t="inlineStr">
        <is>
          <t>운수 및 창고업</t>
        </is>
      </c>
      <c r="C1069" s="68" t="inlineStr">
        <is>
          <t>육상 운송 및 파이프라인 운송업</t>
        </is>
      </c>
      <c r="D1069" s="68" t="inlineStr">
        <is>
          <t>시외버스 운송업</t>
        </is>
      </c>
      <c r="E1069" s="68" t="inlineStr">
        <is>
          <t>시외버스 운송업</t>
        </is>
      </c>
      <c r="F1069" s="68" t="inlineStr">
        <is>
          <t>◦도시 간에 노선을 정하고 정기적으로 승객을 버스로 운송하는 산업활동을 말한다.
&lt;예 시&gt;
·도시 간 정기 여객 운송
·시외 정기 노선 버스 운송
·직통 여객 버스 운송
&lt;제 외&gt;
*고속버스 운송(→602101)
*운수업체가 직영하는 시외버스의 총운수수입금액(→602204)
*시외버스 지입(→630701)</t>
        </is>
      </c>
      <c r="G1069" s="90" t="n">
        <v>92</v>
      </c>
      <c r="H1069" s="90" t="n">
        <v>0</v>
      </c>
      <c r="I1069" s="90" t="n">
        <v>16</v>
      </c>
    </row>
    <row r="1070">
      <c r="A1070" s="65" t="inlineStr">
        <is>
          <t>602103</t>
        </is>
      </c>
      <c r="B1070" s="68" t="inlineStr">
        <is>
          <t>운수 및 창고업</t>
        </is>
      </c>
      <c r="C1070" s="68" t="inlineStr">
        <is>
          <t>육상 운송 및 파이프라인 운송업</t>
        </is>
      </c>
      <c r="D1070" s="68" t="inlineStr">
        <is>
          <t>도시 정기 육상 여객 운송업</t>
        </is>
      </c>
      <c r="E1070" s="68" t="inlineStr">
        <is>
          <t>시내버스 운송업</t>
        </is>
      </c>
      <c r="F1070" s="68" t="inlineStr">
        <is>
          <t>◦주로 도시 및 군의 일정 행정구역 안에서 노선을 정하고 정기적으로 승객을 버스로 운송하는 산업활동을 말한다. 일부 구간을 도시 및 군 근교지역으로 연장하여 운영하는 경우도 포함한다.
&lt;예 시&gt;
·시내 노선 버스 운송
·농·어촌 버스 운송
·구역 내 노선 여객 버스 운송
·정기순회 마을버스 운영
·BRT(Bus Rapid Transit, 간선 급행 버스) 운영
·광역 급행 버스, 직행 좌석 버스 운영
&lt;제 외&gt;
·공항 버스(602104), 학교 버스 등 특정 승객 수송(602109)
*운수업체가 직영하는 시내버스 총운수수입금액(→602204)
*시내버스 지입(→630701)</t>
        </is>
      </c>
      <c r="G1070" s="90" t="n">
        <v>93.5</v>
      </c>
      <c r="H1070" s="90" t="n">
        <v>0</v>
      </c>
      <c r="I1070" s="90" t="n">
        <v>26</v>
      </c>
    </row>
    <row r="1071">
      <c r="A1071" s="65" t="inlineStr">
        <is>
          <t>602104</t>
        </is>
      </c>
      <c r="B1071" s="68" t="inlineStr">
        <is>
          <t>운수 및 창고업</t>
        </is>
      </c>
      <c r="C1071" s="68" t="inlineStr">
        <is>
          <t>육상 운송 및 파이프라인 운송업</t>
        </is>
      </c>
      <c r="D1071" s="68" t="inlineStr">
        <is>
          <t>도시 정기 육상 여객 운송업</t>
        </is>
      </c>
      <c r="E1071" s="68" t="inlineStr">
        <is>
          <t>기타 도시 정기 육상 여객 운송업</t>
        </is>
      </c>
      <c r="F1071" s="68" t="inlineStr">
        <is>
          <t>◦공항버스</t>
        </is>
      </c>
      <c r="G1071" s="90" t="n">
        <v>93.5</v>
      </c>
      <c r="H1071" s="90" t="n">
        <v>0</v>
      </c>
      <c r="I1071" s="90" t="n">
        <v>26.5</v>
      </c>
    </row>
    <row r="1072">
      <c r="A1072" s="65" t="inlineStr">
        <is>
          <t>602109</t>
        </is>
      </c>
      <c r="B1072" s="68" t="inlineStr">
        <is>
          <t>운수 및 창고업</t>
        </is>
      </c>
      <c r="C1072" s="68" t="inlineStr">
        <is>
          <t>육상 운송 및 파이프라인 운송업</t>
        </is>
      </c>
      <c r="D1072" s="68" t="inlineStr">
        <is>
          <t>도시 정기 육상 여객 운송업</t>
        </is>
      </c>
      <c r="E1072" s="68" t="inlineStr">
        <is>
          <t>기타 도시 정기 육상 여객 운송업</t>
        </is>
      </c>
      <c r="F1072" s="68" t="inlineStr">
        <is>
          <t>◦도시 및 근교 내에서 정기적으로 특정 이용 승객을 버스 또는 기타 장비로 운송하는 산업활동을 말한다.
&lt;예 시&gt;
·학교버스 운영
·직장버스 운영
·특정 노선(리조트, 숙박시설, 놀이공원 등) 셔틀 버스 운영
·정기 노선 케이블카 운영
·트롤리 버스 운영
&lt;제 외&gt;
*공항버스 운영(정기노선)(→602104)</t>
        </is>
      </c>
      <c r="G1072" s="90" t="n">
        <v>85.59999999999999</v>
      </c>
      <c r="H1072" s="90" t="n">
        <v>0</v>
      </c>
      <c r="I1072" s="90" t="n">
        <v>23.6</v>
      </c>
    </row>
    <row r="1073">
      <c r="A1073" s="65" t="inlineStr">
        <is>
          <t>602110</t>
        </is>
      </c>
      <c r="B1073" s="68" t="inlineStr">
        <is>
          <t>운수 및 창고업</t>
        </is>
      </c>
      <c r="C1073" s="68" t="inlineStr">
        <is>
          <t>육상 운송 및 파이프라인 운송업</t>
        </is>
      </c>
      <c r="D1073" s="68" t="inlineStr">
        <is>
          <t>도시 정기 육상 여객 운송업</t>
        </is>
      </c>
      <c r="E1073" s="68" t="inlineStr">
        <is>
          <t>기타 도시 정기 육상 여객 운송업</t>
        </is>
      </c>
      <c r="F1073" s="68" t="inlineStr">
        <is>
          <t xml:space="preserve">◦어린이통학버스( ｢도로교통법｣ 제2조제23호 및 제52조에 해당하는 것)를 이용하여 유치원, 어린이집, 학원, 체육시설 등 어린이교육시설에서 13세 미만인 어린이를 운송하는 산업활동
 * 운전기사가 인적 또는 물적시설 없이 어린이통학버스 운전용역만을 제공하는 경우(→940928)"
</t>
        </is>
      </c>
      <c r="G1073" s="90" t="n">
        <v>85.59999999999999</v>
      </c>
      <c r="H1073" s="90" t="n">
        <v>0</v>
      </c>
      <c r="I1073" s="90" t="n">
        <v>14</v>
      </c>
    </row>
    <row r="1074">
      <c r="A1074" s="65" t="inlineStr">
        <is>
          <t>602201</t>
        </is>
      </c>
      <c r="B1074" s="68" t="inlineStr">
        <is>
          <t>운수 및 창고업</t>
        </is>
      </c>
      <c r="C1074" s="68" t="inlineStr">
        <is>
          <t>육상 운송 및 파이프라인 운송업</t>
        </is>
      </c>
      <c r="D1074" s="68" t="inlineStr">
        <is>
          <t>부정기 육상 여객 운송업</t>
        </is>
      </c>
      <c r="E1074" s="68" t="inlineStr">
        <is>
          <t>택시 운송업</t>
        </is>
      </c>
      <c r="F1074" s="68" t="inlineStr">
        <is>
          <t>◦택시를 이용하여 승객을 운송하는 산업활동을 말한다.
&lt;예 시&gt;
·택시 운송
·개인택시 운송
·리무진 운송
&lt;제 외&gt;
*모범택시(→602203)
*운수업체가 직영하는 택시 및 콜택시의 총운수수입금액(→602206)
*택시의 지입료 수입 및 대여료 수입(→630701)</t>
        </is>
      </c>
      <c r="G1074" s="90" t="n">
        <v>90.8</v>
      </c>
      <c r="H1074" s="90" t="n">
        <v>0</v>
      </c>
      <c r="I1074" s="90" t="n">
        <v>24.3</v>
      </c>
    </row>
    <row r="1075">
      <c r="A1075" s="65" t="inlineStr">
        <is>
          <t>602203</t>
        </is>
      </c>
      <c r="B1075" s="68" t="inlineStr">
        <is>
          <t>운수 및 창고업</t>
        </is>
      </c>
      <c r="C1075" s="68" t="inlineStr">
        <is>
          <t>육상 운송 및 파이프라인 운송업</t>
        </is>
      </c>
      <c r="D1075" s="68" t="inlineStr">
        <is>
          <t>부정기 육상 여객 운송업</t>
        </is>
      </c>
      <c r="E1075" s="68" t="inlineStr">
        <is>
          <t>택시 운송업</t>
        </is>
      </c>
      <c r="F1075" s="68" t="inlineStr">
        <is>
          <t>◦모범택시</t>
        </is>
      </c>
      <c r="G1075" s="90" t="n">
        <v>86</v>
      </c>
      <c r="H1075" s="90" t="n">
        <v>0</v>
      </c>
      <c r="I1075" s="90" t="n">
        <v>22.8</v>
      </c>
    </row>
    <row r="1076">
      <c r="A1076" s="65" t="inlineStr">
        <is>
          <t>602204</t>
        </is>
      </c>
      <c r="B1076" s="68" t="inlineStr">
        <is>
          <t>운수 및 창고업</t>
        </is>
      </c>
      <c r="C1076" s="68" t="inlineStr">
        <is>
          <t>육상 운송 및 파이프라인 운송업</t>
        </is>
      </c>
      <c r="D1076" s="68" t="inlineStr">
        <is>
          <t>도시 정기 육상 여객 운송업, 시외버스 운송업</t>
        </is>
      </c>
      <c r="E1076" s="68" t="inlineStr">
        <is>
          <t>시내버스 운송업, 시외버스 운송업</t>
        </is>
      </c>
      <c r="F1076" s="68" t="inlineStr">
        <is>
          <t>◦운수업체가 직영하는 시내버스, 시외버스의 총운수수입금액</t>
        </is>
      </c>
      <c r="G1076" s="90" t="n">
        <v>95.7</v>
      </c>
      <c r="H1076" s="90" t="n">
        <v>0</v>
      </c>
      <c r="I1076" s="90" t="n">
        <v>22.3</v>
      </c>
    </row>
    <row r="1077">
      <c r="A1077" s="65" t="inlineStr">
        <is>
          <t>602205</t>
        </is>
      </c>
      <c r="B1077" s="68" t="inlineStr">
        <is>
          <t>운수 및 창고업</t>
        </is>
      </c>
      <c r="C1077" s="68" t="inlineStr">
        <is>
          <t>육상 운송 및 파이프라인 운송업</t>
        </is>
      </c>
      <c r="D1077" s="68" t="inlineStr">
        <is>
          <t>부정기 육상 여객 운송업</t>
        </is>
      </c>
      <c r="E1077" s="68" t="inlineStr">
        <is>
          <t>전세버스 운송업</t>
        </is>
      </c>
      <c r="F1077" s="68" t="inlineStr">
        <is>
          <t>◦노선과 일정을 정하지 않고 고객의 요구에 따라 승객을 버스로 운송하는 산업활동을 말한다.
&lt;예 시&gt;
·관광 버스 운영
·버스 임대(운전자 딸린)
·비노선 버스 운영</t>
        </is>
      </c>
      <c r="G1077" s="90" t="n">
        <v>87.59999999999999</v>
      </c>
      <c r="H1077" s="90" t="n">
        <v>0</v>
      </c>
      <c r="I1077" s="90" t="n">
        <v>23.6</v>
      </c>
    </row>
    <row r="1078">
      <c r="A1078" s="65" t="inlineStr">
        <is>
          <t>602206</t>
        </is>
      </c>
      <c r="B1078" s="68" t="inlineStr">
        <is>
          <t>운수 및 창고업</t>
        </is>
      </c>
      <c r="C1078" s="68" t="inlineStr">
        <is>
          <t>육상 운송 및 파이프라인 운송업</t>
        </is>
      </c>
      <c r="D1078" s="68" t="inlineStr">
        <is>
          <t>부정기 육상 여객 운송업</t>
        </is>
      </c>
      <c r="E1078" s="68" t="inlineStr">
        <is>
          <t>택시 운송업</t>
        </is>
      </c>
      <c r="F1078" s="68" t="inlineStr">
        <is>
          <t>◦운수업체가 직영하는 택시 및 콜택시의 총운수수입금액</t>
        </is>
      </c>
      <c r="G1078" s="90" t="n">
        <v>95.7</v>
      </c>
      <c r="H1078" s="90" t="n">
        <v>0</v>
      </c>
      <c r="I1078" s="90" t="n">
        <v>19.8</v>
      </c>
    </row>
    <row r="1079">
      <c r="A1079" s="65" t="inlineStr">
        <is>
          <t>602209</t>
        </is>
      </c>
      <c r="B1079" s="68" t="inlineStr">
        <is>
          <t>운수 및 창고업</t>
        </is>
      </c>
      <c r="C1079" s="68" t="inlineStr">
        <is>
          <t>육상 운송 및 파이프라인 운송업</t>
        </is>
      </c>
      <c r="D1079" s="68" t="inlineStr">
        <is>
          <t>부정기 육상 여객 운송업</t>
        </is>
      </c>
      <c r="E1079" s="68" t="inlineStr">
        <is>
          <t>기타 부정기 여객 육상 운송업</t>
        </is>
      </c>
      <c r="F1079" s="68" t="inlineStr">
        <is>
          <t>◦부정기로 여객을 육상 운송하는 기타의 산업활동을 말한다.
&lt;예 시&gt;
·독립적으로 경영하는 부정기 케이블카 운송
·비동력식 여객 운송 차량 운영
·동물 또는 인력으로 견인하는 여객 운송 차량 운영
·독립적으로 경영하는 스키 리프트 운영
&lt;제 외&gt;
·관광지 또는 유원지의 오락 목적용 궤도시설 운영(924911)</t>
        </is>
      </c>
      <c r="G1079" s="90" t="n">
        <v>86.3</v>
      </c>
      <c r="H1079" s="90" t="n">
        <v>0</v>
      </c>
      <c r="I1079" s="90" t="n">
        <v>29.1</v>
      </c>
    </row>
    <row r="1080">
      <c r="A1080" s="65" t="inlineStr">
        <is>
          <t>602301</t>
        </is>
      </c>
      <c r="B1080" s="68" t="inlineStr">
        <is>
          <t>운수 및 창고업</t>
        </is>
      </c>
      <c r="C1080" s="68" t="inlineStr">
        <is>
          <t>육상 운송 및 파이프라인 운송업</t>
        </is>
      </c>
      <c r="D1080" s="68" t="inlineStr">
        <is>
          <t>도로 화물 운송업</t>
        </is>
      </c>
      <c r="E1080" s="68" t="inlineStr">
        <is>
          <t>일반 화물자동차 운송업, 개인 화물자동차 운송업</t>
        </is>
      </c>
      <c r="F1080" s="68" t="inlineStr">
        <is>
          <t>◦경․소형 화물 자동차(1톤 이하) 및 견인․구난 및 특수 목적용 경․소형 특수 자동차(3.5톤 이하)를 1대 이상 이용하여 각종 화물 등을 운송하는 산업활동을 말한다.
&lt;예 시&gt;
·경·소형 화물 자동차 운송(1톤 이하)
&lt;제 외&gt;
*1톤 이하인 화물자동차를 사용하여 통상 주행거리기준에 따라 요금을 받고 화물 배달(→602307)
*이사화물 운송(1톤 이하)(→602308)
*지입(→630702)</t>
        </is>
      </c>
      <c r="G1080" s="90" t="n">
        <v>91.59999999999999</v>
      </c>
      <c r="H1080" s="90" t="n">
        <v>0</v>
      </c>
      <c r="I1080" s="90" t="n">
        <v>23.4</v>
      </c>
    </row>
    <row r="1081">
      <c r="A1081" s="65" t="inlineStr">
        <is>
          <t>602302</t>
        </is>
      </c>
      <c r="B1081" s="68" t="inlineStr">
        <is>
          <t>운수 및 창고업</t>
        </is>
      </c>
      <c r="C1081" s="68" t="inlineStr">
        <is>
          <t>육상 운송 및 파이프라인 운송업</t>
        </is>
      </c>
      <c r="D1081" s="68" t="inlineStr">
        <is>
          <t>도로 화물 운송업</t>
        </is>
      </c>
      <c r="E1081" s="68" t="inlineStr">
        <is>
          <t>일반 화물자동차 운송업, 개인 화물자동차 운송업</t>
        </is>
      </c>
      <c r="F1081" s="68" t="inlineStr">
        <is>
          <t>◦대형 화물 자동차(5톤 이상)를 이용하여 각종 화물 등을 운송하는 산업활동을 말한다.
&lt;예 시&gt;
·대형 화물 자동차 운송(5톤 이상)
&lt;제 외&gt;
·운전자 없는 자동차 임대(630304)
*덤프트럭(12톤 미만)을 이용하여 각종 화물 등 운송(→602303)
*덤프트럭(12톤 이상)을 이용하여 각종 화물 등 운송(→602304)
*견인․구난 및 특수 목적용 대형 특수 자동차(10톤 이상)를 이용하여 각종 화물 등 운송(→602305)
*지입(→630702)</t>
        </is>
      </c>
      <c r="G1081" s="90" t="n">
        <v>91.09999999999999</v>
      </c>
      <c r="H1081" s="90" t="n">
        <v>0</v>
      </c>
      <c r="I1081" s="90" t="n">
        <v>21.5</v>
      </c>
    </row>
    <row r="1082">
      <c r="A1082" s="65" t="inlineStr">
        <is>
          <t>602303</t>
        </is>
      </c>
      <c r="B1082" s="68" t="inlineStr">
        <is>
          <t>운수 및 창고업</t>
        </is>
      </c>
      <c r="C1082" s="68" t="inlineStr">
        <is>
          <t>육상 운송 및 파이프라인 운송업</t>
        </is>
      </c>
      <c r="D1082" s="68" t="inlineStr">
        <is>
          <t>도로 화물 운송업</t>
        </is>
      </c>
      <c r="E1082" s="68" t="inlineStr">
        <is>
          <t>일반 화물자동차 운송업, 개인 화물자동차 운송업</t>
        </is>
      </c>
      <c r="F1082" s="68" t="inlineStr">
        <is>
          <t>◦덤프트럭(12톤 미만)를 이용하여 각종 화물 등을 운송하는 산업활동을 말한다.
&lt;제 외&gt;
·운전자 없는 자동차 임대(630304)
*대형 화물 자동차(5톤 이상)를 이용하여 각종 화물 등 운송(→602302)
*덤프트럭(12톤 이상)을 이용하여 각종 화물 등 운송(→602304)
*견인․구난 및 특수 목적용 대형 특수 자동차(10톤 이상)를 이용하여 각종 화물 등 운송(→602305)
*지입(→630702)</t>
        </is>
      </c>
      <c r="G1082" s="90" t="n">
        <v>90.8</v>
      </c>
      <c r="H1082" s="90" t="n">
        <v>0</v>
      </c>
      <c r="I1082" s="90" t="n">
        <v>24.9</v>
      </c>
    </row>
    <row r="1083">
      <c r="A1083" s="65" t="inlineStr">
        <is>
          <t>602304</t>
        </is>
      </c>
      <c r="B1083" s="68" t="inlineStr">
        <is>
          <t>운수 및 창고업</t>
        </is>
      </c>
      <c r="C1083" s="68" t="inlineStr">
        <is>
          <t>육상 운송 및 파이프라인 운송업</t>
        </is>
      </c>
      <c r="D1083" s="68" t="inlineStr">
        <is>
          <t>도로 화물 운송업</t>
        </is>
      </c>
      <c r="E1083" s="68" t="inlineStr">
        <is>
          <t>일반 화물자동차 운송업, 개인 화물자동차 운송업</t>
        </is>
      </c>
      <c r="F1083" s="68" t="inlineStr">
        <is>
          <t>◦덤프트럭(12톤 이상)를 이용하여 각종 화물 등을 운송하는 산업활동을 말한다.
&lt;제 외&gt;
·운전자 없는 자동차 임대(630304)
*대형 화물 자동차(5톤 이상)를 이용하여 각종 화물 등 운송(→602302)
*덤프트럭(12톤 미만)을 이용하여 각종 화물 등 운송(→602303)
*견인․구난 및 특수 목적용 대형 특수 자동차(10톤 이상)를 이용하여 각종 화물 등 운송(→602305)
*지입(→630702)</t>
        </is>
      </c>
      <c r="G1083" s="90" t="n">
        <v>86.2</v>
      </c>
      <c r="H1083" s="90" t="n">
        <v>0</v>
      </c>
      <c r="I1083" s="90" t="n">
        <v>23.4</v>
      </c>
    </row>
    <row r="1084">
      <c r="A1084" s="65" t="inlineStr">
        <is>
          <t>602305</t>
        </is>
      </c>
      <c r="B1084" s="68" t="inlineStr">
        <is>
          <t>운수 및 창고업</t>
        </is>
      </c>
      <c r="C1084" s="68" t="inlineStr">
        <is>
          <t>육상 운송 및 파이프라인 운송업</t>
        </is>
      </c>
      <c r="D1084" s="68" t="inlineStr">
        <is>
          <t>도로 화물 운송업</t>
        </is>
      </c>
      <c r="E1084" s="68" t="inlineStr">
        <is>
          <t>일반 화물자동차 운송업, 개인 화물자동차 운송업</t>
        </is>
      </c>
      <c r="F1084" s="68" t="inlineStr">
        <is>
          <t>◦견인․구난 및 특수 목적용 대형 특수 자동차(10톤 이상)를 이용하여 각종 화물 등을 운송하는 산업활동을 말한다.
&lt;예 시&gt;
 ·대형 특수 자동차 운송(견인 등)
&lt;제 외&gt;
·운전자 없는 자동차 임대(630304)
*대형 화물 자동차(5톤 이상)를 이용하여 각종 화물 등 운송(→602302)
*덤프트럭(12톤 이상)를 이용하여 각종 화물 등을 운송(→602304)
*덤프트럭(12톤 미만)를 이용하여 각종 화물 등 운송(→602303)
*지입(→630702)</t>
        </is>
      </c>
      <c r="G1084" s="90" t="n">
        <v>90.8</v>
      </c>
      <c r="H1084" s="90" t="n">
        <v>0</v>
      </c>
      <c r="I1084" s="90" t="n">
        <v>23.9</v>
      </c>
    </row>
    <row r="1085">
      <c r="A1085" s="65" t="inlineStr">
        <is>
          <t>602306</t>
        </is>
      </c>
      <c r="B1085" s="68" t="inlineStr">
        <is>
          <t>운수 및 창고업</t>
        </is>
      </c>
      <c r="C1085" s="68" t="inlineStr">
        <is>
          <t>육상 운송 및 파이프라인 운송업</t>
        </is>
      </c>
      <c r="D1085" s="68" t="inlineStr">
        <is>
          <t>부정기 육상 여객 운송업</t>
        </is>
      </c>
      <c r="E1085" s="68" t="inlineStr">
        <is>
          <t>특수 여객 자동차 운송업</t>
        </is>
      </c>
      <c r="F1085" s="68" t="inlineStr">
        <is>
          <t>◦시체를 운구할 수 있는 특수한 설비를 갖춘 장의 차량을 운영하는 산업활동을 말한다.
&lt;예 시&gt;
·장의 차량 운영
·장의 차량 임대(운전자 딸린)</t>
        </is>
      </c>
      <c r="G1085" s="90" t="n">
        <v>88.59999999999999</v>
      </c>
      <c r="H1085" s="90" t="n">
        <v>0</v>
      </c>
      <c r="I1085" s="90" t="n">
        <v>23.5</v>
      </c>
    </row>
    <row r="1086">
      <c r="A1086" s="65" t="inlineStr">
        <is>
          <t>602307</t>
        </is>
      </c>
      <c r="B1086" s="68" t="inlineStr">
        <is>
          <t>운수 및 창고업</t>
        </is>
      </c>
      <c r="C1086" s="68" t="inlineStr">
        <is>
          <t>육상 운송 및 파이프라인 운송업</t>
        </is>
      </c>
      <c r="D1086" s="68" t="inlineStr">
        <is>
          <t>도로 화물 운송업</t>
        </is>
      </c>
      <c r="E1086" s="68" t="inlineStr">
        <is>
          <t>일반 화물자동차 운송업, 개인 화물자동차 운송업</t>
        </is>
      </c>
      <c r="F1086" s="68" t="inlineStr">
        <is>
          <t>◦도시내에서 적재정량이 1톤 이하인 화물자동차를 사용하여 통상 주행거리기준에 따라 요금을 받고 화물을 배달하는 운수업</t>
        </is>
      </c>
      <c r="G1086" s="90" t="n">
        <v>89.2</v>
      </c>
      <c r="H1086" s="90" t="n">
        <v>0</v>
      </c>
      <c r="I1086" s="90" t="n">
        <v>27.9</v>
      </c>
    </row>
    <row r="1087">
      <c r="A1087" s="65" t="inlineStr">
        <is>
          <t>602308</t>
        </is>
      </c>
      <c r="B1087" s="68" t="inlineStr">
        <is>
          <t>운수 및 창고업</t>
        </is>
      </c>
      <c r="C1087" s="68" t="inlineStr">
        <is>
          <t>육상 운송 및 파이프라인 운송업</t>
        </is>
      </c>
      <c r="D1087" s="68" t="inlineStr">
        <is>
          <t>도로 화물 운송업</t>
        </is>
      </c>
      <c r="E1087" s="68" t="inlineStr">
        <is>
          <t>일반 화물자동차 운송업, 개인 화물자동차 운송업</t>
        </is>
      </c>
      <c r="F1087" s="68" t="inlineStr">
        <is>
          <t>◦이사화물 운송
  -화물자동차 운수사업법에 따른 화물자동차운송사업자의 이사화물 운송
&lt;제 외&gt;
  *화물자동차 운수사업법시행령 제9조에 따른 이사화물운송주선사업(포장이사) → 630905</t>
        </is>
      </c>
      <c r="G1087" s="90" t="n">
        <v>87.3</v>
      </c>
      <c r="H1087" s="90" t="n">
        <v>0</v>
      </c>
      <c r="I1087" s="90" t="n">
        <v>26.7</v>
      </c>
    </row>
    <row r="1088">
      <c r="A1088" s="65" t="inlineStr">
        <is>
          <t>602309</t>
        </is>
      </c>
      <c r="B1088" s="68" t="inlineStr">
        <is>
          <t>운수 및 창고업</t>
        </is>
      </c>
      <c r="C1088" s="68" t="inlineStr">
        <is>
          <t>창고 및 운송관련 서비스업</t>
        </is>
      </c>
      <c r="D1088" s="68" t="inlineStr">
        <is>
          <t>그 외 기타 운송관련 서비스업</t>
        </is>
      </c>
      <c r="E1088" s="68" t="inlineStr">
        <is>
          <t>화물 운송 중개, 대리 및 관련 서비스업</t>
        </is>
      </c>
      <c r="F1088" s="68" t="inlineStr">
        <is>
          <t>◦화물운송주선사업 중 자기의 명의와 계산으로 화물을 운송하는 사업</t>
        </is>
      </c>
      <c r="G1088" s="90" t="n">
        <v>93.5</v>
      </c>
      <c r="H1088" s="90" t="n">
        <v>0</v>
      </c>
      <c r="I1088" s="90" t="n">
        <v>21.6</v>
      </c>
    </row>
    <row r="1089">
      <c r="A1089" s="65" t="inlineStr">
        <is>
          <t>602310</t>
        </is>
      </c>
      <c r="B1089" s="68" t="inlineStr">
        <is>
          <t>운수 및 창고업</t>
        </is>
      </c>
      <c r="C1089" s="68" t="inlineStr">
        <is>
          <t>육상 운송 및 파이프라인 운송업</t>
        </is>
      </c>
      <c r="D1089" s="68" t="inlineStr">
        <is>
          <t>도로 화물 운송업</t>
        </is>
      </c>
      <c r="E1089" s="68" t="inlineStr">
        <is>
          <t>개인 화물자동차 운송업</t>
        </is>
      </c>
      <c r="F1089" s="68" t="inlineStr">
        <is>
          <t>◦중형 화물 자동차(1톤 초과 5톤 미만) 및 견인․구난 및 특수 목적용 중형 특수 자동차(3.5톤 초과 10톤 미만) 1대를 이용하여 각종 화물 등을 운송하는 산업활동을 말한다.
&lt;예 시&gt;
·중형 화물 자동차 운송(5톤 미만)
&lt;제 외&gt;
*이사화물 운송(1톤초과5톤미만)(→602308)
*지입(→630702)</t>
        </is>
      </c>
      <c r="G1089" s="90" t="n">
        <v>91.59999999999999</v>
      </c>
      <c r="H1089" s="90" t="n">
        <v>0</v>
      </c>
      <c r="I1089" s="90" t="n">
        <v>25.9</v>
      </c>
    </row>
    <row r="1090">
      <c r="A1090" s="65" t="inlineStr">
        <is>
          <t>602313</t>
        </is>
      </c>
      <c r="B1090" s="68" t="inlineStr">
        <is>
          <t>운수 및 창고업</t>
        </is>
      </c>
      <c r="C1090" s="68" t="inlineStr">
        <is>
          <t>육상 운송 및 파이프라인 운송업</t>
        </is>
      </c>
      <c r="D1090" s="68" t="inlineStr">
        <is>
          <t>도로 화물 운송업</t>
        </is>
      </c>
      <c r="E1090" s="68" t="inlineStr">
        <is>
          <t>기타 도로 화물 운송업</t>
        </is>
      </c>
      <c r="F1090" s="68" t="inlineStr">
        <is>
          <t>◦기타 도로 화물 운송사업을 수행하는 산업활동을 말한다.
&lt;예 시&gt;
·동물 견인 화물 차량 운영
·비동력 화물 차량 운영
·인력 견인 화물 차량 운영
&lt;제 외&gt;
·소화물 택배 서비스(630901) 및 늘찬 배달업(630904)</t>
        </is>
      </c>
      <c r="G1090" s="90" t="n">
        <v>93.5</v>
      </c>
      <c r="H1090" s="90" t="n">
        <v>0</v>
      </c>
      <c r="I1090" s="90" t="n">
        <v>41.7</v>
      </c>
    </row>
    <row r="1091">
      <c r="A1091" s="65" t="inlineStr">
        <is>
          <t>602314</t>
        </is>
      </c>
      <c r="B1091" s="68" t="inlineStr">
        <is>
          <t>운수 및 창고업</t>
        </is>
      </c>
      <c r="C1091" s="68" t="inlineStr">
        <is>
          <t>육상 운송 및 파이프라인 운송업</t>
        </is>
      </c>
      <c r="D1091" s="68" t="inlineStr">
        <is>
          <t>도로 화물 운송업</t>
        </is>
      </c>
      <c r="E1091" s="68" t="inlineStr">
        <is>
          <t>일반 화물자동차 운송업, 개인 화물자동차 운송업, 기타 도로 화물 운송업</t>
        </is>
      </c>
      <c r="F1091" s="68" t="inlineStr">
        <is>
          <t>◦ 수출입컨테이너 운송
· 제품의 수출입을 위하여 화주와 항만 간 컨테이너를 운송하는 산업활동
◦ 시멘트 운송
· 시멘트 제조사로부터 판매처 등에 시멘트를 운송하는 산업활동
◦ 철강재 운송
· 철강재 제조사로부터 판매처 등에 철강재를 운송하는 산업활동
◦ 위험물질 운송
· 탱크로리 등 화물자동차를 이용하여 유류가스, 유해화학물질 등 위험물질을 운송하는 산업활동
ㅇ택배 지간선 택배화물 운송
 ･택배사업에서 택배사업자나 화물자동차 운수사업자로부터 업무를 위탁받아 물류센터간 화물을 운송하는 산업활동
ㅇ자동차 운송
 ･화물자동차를 이용하여 제조사 또는 판매처 등으로부터 자동차 사용자가 원하는 장소 등에 자동차를 운송하는 산업활동
ㅇ곡물가루, 곡물사료 운송
 ･특수용도형 화물자동차를 이용하여 제조사 또는 판매처 등으로부터 거래처 등으로 밀가루 등 곡물가루, 곡물 또는 사료를 운송하는 산업활동</t>
        </is>
      </c>
      <c r="G1091" s="90" t="n">
        <v>90.8</v>
      </c>
      <c r="H1091" s="90" t="n">
        <v>0</v>
      </c>
      <c r="I1091" s="90" t="n">
        <v>23.1</v>
      </c>
    </row>
    <row r="1092">
      <c r="A1092" s="65" t="inlineStr">
        <is>
          <t>602315</t>
        </is>
      </c>
      <c r="B1092" s="68" t="inlineStr">
        <is>
          <t>운수 및 창고업</t>
        </is>
      </c>
      <c r="C1092" s="68" t="inlineStr">
        <is>
          <t>육상 운송 및 파이프라인 운송업</t>
        </is>
      </c>
      <c r="D1092" s="68" t="inlineStr">
        <is>
          <t>도로 화물 운송업</t>
        </is>
      </c>
      <c r="E1092" s="68" t="inlineStr">
        <is>
          <t>일반 화물자동차 운송업, 개인 화물자동차 운송업</t>
        </is>
      </c>
      <c r="F1092" s="68" t="inlineStr">
        <is>
          <t>◦ 가전제품 운송
· 텔레비전, 냉장고, 세탁기 등 가전제품을 소비자의 가정 또는 사무실 등에 운송하는 산업활동
(운송 물품을 설치하는 업무가 결합되어 수행될 수 있음)</t>
        </is>
      </c>
      <c r="G1092" s="90" t="n">
        <v>91.59999999999999</v>
      </c>
      <c r="H1092" s="90" t="n">
        <v>0</v>
      </c>
      <c r="I1092" s="90" t="n">
        <v>24.2</v>
      </c>
    </row>
    <row r="1093">
      <c r="A1093" s="65" t="inlineStr">
        <is>
          <t>602316</t>
        </is>
      </c>
      <c r="B1093" s="68" t="inlineStr">
        <is>
          <t>운수 및 창고업</t>
        </is>
      </c>
      <c r="C1093" s="68" t="inlineStr">
        <is>
          <t>육상 운송 및 파이프라인 운송업</t>
        </is>
      </c>
      <c r="D1093" s="68" t="inlineStr">
        <is>
          <t>도로 화물 운송업</t>
        </is>
      </c>
      <c r="E1093" s="68" t="inlineStr">
        <is>
          <t>일반 화물자동차 운송업, 개인 화물자동차 운송업, 기타 도로 화물 운송업</t>
        </is>
      </c>
      <c r="F1093" s="68" t="inlineStr">
        <is>
          <t>ㅇ  유통물류 운송
 · 화물자동차를 이용하여 운수사업자･대규모점포나 준대규모점포를 운영하는 사업 또는 체인사업의 사업주･무점포판매업을 운영하는 사업의 사업주와 화물운송계약을 체결하여 상품을 물류센터로 운송하거나 점포 또는 소비자에게 배송하는 산업활동
· 화물자동차를 이용하여 운수사업자･음식점 및 주점업을 운영하는 사업의 사업주･기관 구내식당업을 운영하는 사업의 사업주와 화물운송계약을 체결하여 식자재나 식품 등을 물류센터로 운송하거나 점포 또는 식당으로 배송하는 산업활동
&lt;예시&gt;
  ･유통산업 내 물류 운송(제조업체에서 유통업체에 운송, 유통업체 물류센터에서 대형마트, 편의점 등에 운송 등)
&lt;제외&gt;
  ･소화물 택배 서비스(630901) 및 늘찬배달업(630904)</t>
        </is>
      </c>
      <c r="G1093" s="90" t="n">
        <v>91.09999999999999</v>
      </c>
      <c r="H1093" s="90" t="n">
        <v>0</v>
      </c>
      <c r="I1093" s="90" t="n">
        <v>33.2</v>
      </c>
    </row>
    <row r="1094">
      <c r="A1094" s="65" t="inlineStr">
        <is>
          <t>603000</t>
        </is>
      </c>
      <c r="B1094" s="68" t="inlineStr">
        <is>
          <t>운수 및 창고업</t>
        </is>
      </c>
      <c r="C1094" s="68" t="inlineStr">
        <is>
          <t>육상 운송 및 파이프라인 운송업</t>
        </is>
      </c>
      <c r="D1094" s="68" t="inlineStr">
        <is>
          <t>파이프라인 운송업</t>
        </is>
      </c>
      <c r="E1094" s="68" t="inlineStr">
        <is>
          <t>파이프라인 운송업</t>
        </is>
      </c>
      <c r="F1094" s="68" t="inlineStr">
        <is>
          <t>◦원유, 천연 가스, 정제 석유제품 및 유사제품을 관로(파이프라인)를 이용하여 운송하는 산업활동을 말한다. 이 산업은 펌프장과 창고시설을 부수적으로 운영할 수 있다.
&lt;제 외&gt;
·가스를 최종 소비자에게 배관 공급(402001)
·증기를 최종 소비자에게 배관 공급(403000)
·수돗물을 최종 소비자에게 배관 공급(410000)
·수수료에 의한 가스 및 원유 저장소 운영(630204)
·특정 산업에 관련된 배관시설을 운영하는 경우에는 그 주된 산업활동에 따라 분류</t>
        </is>
      </c>
      <c r="G1094" s="90" t="n">
        <v>91.90000000000001</v>
      </c>
      <c r="H1094" s="90" t="n">
        <v>0</v>
      </c>
      <c r="I1094" s="90" t="n">
        <v>27.5</v>
      </c>
    </row>
    <row r="1095">
      <c r="A1095" s="65" t="inlineStr">
        <is>
          <t>611001</t>
        </is>
      </c>
      <c r="B1095" s="68" t="inlineStr">
        <is>
          <t>운수 및 창고업</t>
        </is>
      </c>
      <c r="C1095" s="68" t="inlineStr">
        <is>
          <t>수상 운송업</t>
        </is>
      </c>
      <c r="D1095" s="68" t="inlineStr">
        <is>
          <t>내항 운송업</t>
        </is>
      </c>
      <c r="E1095" s="68" t="inlineStr">
        <is>
          <t>내항 여객 운송업</t>
        </is>
      </c>
      <c r="F1095" s="68" t="inlineStr">
        <is>
          <t>◦국내 항구 간에 각종 선박을 취항하여 여객을 운송하는 산업활동을 말한다.
&lt;예 시&gt;
·내항 정기 여객 운송
·내항 부정기 여객 운송
·내항 여객선 임대(승무원 딸린)
·유람선 운영(국내 항구 간)
&lt;제 외&gt;
·항만 내 여객 운송(612001)</t>
        </is>
      </c>
      <c r="G1095" s="90" t="n">
        <v>93.3</v>
      </c>
      <c r="H1095" s="90" t="n">
        <v>0</v>
      </c>
      <c r="I1095" s="90" t="n">
        <v>27.1</v>
      </c>
    </row>
    <row r="1096">
      <c r="A1096" s="65" t="inlineStr">
        <is>
          <t>611002</t>
        </is>
      </c>
      <c r="B1096" s="68" t="inlineStr">
        <is>
          <t>운수 및 창고업</t>
        </is>
      </c>
      <c r="C1096" s="68" t="inlineStr">
        <is>
          <t>수상 운송업</t>
        </is>
      </c>
      <c r="D1096" s="68" t="inlineStr">
        <is>
          <t>외항 운송업</t>
        </is>
      </c>
      <c r="E1096" s="68" t="inlineStr">
        <is>
          <t>외항 화물 운송업</t>
        </is>
      </c>
      <c r="F1096" s="68" t="inlineStr">
        <is>
          <t>◦외국 항로에 선박을 취항하여 화물을 운송하는 산업활동을 말한다.
&lt;예 시&gt;
·외항 화물 정기 운송
·외항 화물 부정기 운송
·외항 컨테이너 선박 운송
·외항 화물 선박 임대(승무원 딸린)</t>
        </is>
      </c>
      <c r="G1096" s="90" t="n">
        <v>88.2</v>
      </c>
      <c r="H1096" s="90" t="n">
        <v>0</v>
      </c>
      <c r="I1096" s="90" t="n">
        <v>22.2</v>
      </c>
    </row>
    <row r="1097">
      <c r="A1097" s="65" t="inlineStr">
        <is>
          <t>611003</t>
        </is>
      </c>
      <c r="B1097" s="68" t="inlineStr">
        <is>
          <t>운수 및 창고업</t>
        </is>
      </c>
      <c r="C1097" s="68" t="inlineStr">
        <is>
          <t>수상 운송업</t>
        </is>
      </c>
      <c r="D1097" s="68" t="inlineStr">
        <is>
          <t>내항 운송업</t>
        </is>
      </c>
      <c r="E1097" s="68" t="inlineStr">
        <is>
          <t>내항 화물 운송업</t>
        </is>
      </c>
      <c r="F1097" s="68" t="inlineStr">
        <is>
          <t>◦국내 항구 간에 각종 선박을 취항하여 화물을 운송하는 산업활동을 말한다.
&lt;예 시&gt;
·내항 정기 화물 운송
·내항 부정기 화물 운송
·내항 화물 선박 임대(승무원 딸린)
&lt;제 외&gt;
·항만 내 여객 운송(612001)</t>
        </is>
      </c>
      <c r="G1097" s="90" t="n">
        <v>88.8</v>
      </c>
      <c r="H1097" s="90" t="n">
        <v>0</v>
      </c>
      <c r="I1097" s="90" t="n">
        <v>24.8</v>
      </c>
    </row>
    <row r="1098">
      <c r="A1098" s="65" t="inlineStr">
        <is>
          <t>611004</t>
        </is>
      </c>
      <c r="B1098" s="68" t="inlineStr">
        <is>
          <t>운수 및 창고업</t>
        </is>
      </c>
      <c r="C1098" s="68" t="inlineStr">
        <is>
          <t>수상 운송업</t>
        </is>
      </c>
      <c r="D1098" s="68" t="inlineStr">
        <is>
          <t>기타 해상 운송업</t>
        </is>
      </c>
      <c r="E1098" s="68" t="inlineStr">
        <is>
          <t>기타 해상 운송업</t>
        </is>
      </c>
      <c r="F1098" s="68" t="inlineStr">
        <is>
          <t>◦이 산업에는 예인선 운영 등이 포함된다.
&lt;예 시&gt;
·예인선 운영(해상)
·승무원이 동승하는 해수면 오락용 낚싯배 운영
&lt;제 외&gt;
·항만 내 여객(612001) 및 화물 운송(612003)
·내륙 수로 상의 예인선 운영(612002)
·조난선의 구조 및 예인(630401)</t>
        </is>
      </c>
      <c r="G1098" s="90" t="n">
        <v>88.2</v>
      </c>
      <c r="H1098" s="90" t="n">
        <v>0</v>
      </c>
      <c r="I1098" s="90" t="n">
        <v>22.6</v>
      </c>
    </row>
    <row r="1099">
      <c r="A1099" s="65" t="inlineStr">
        <is>
          <t>611005</t>
        </is>
      </c>
      <c r="B1099" s="68" t="inlineStr">
        <is>
          <t>운수 및 창고업</t>
        </is>
      </c>
      <c r="C1099" s="68" t="inlineStr">
        <is>
          <t>수상 운송업</t>
        </is>
      </c>
      <c r="D1099" s="68" t="inlineStr">
        <is>
          <t>외항 운송업</t>
        </is>
      </c>
      <c r="E1099" s="68" t="inlineStr">
        <is>
          <t>외항 여객 운송업</t>
        </is>
      </c>
      <c r="F1099" s="68" t="inlineStr">
        <is>
          <t>◦외국 항로에 선박을 취항하여 여객을 운송하는 산업활동을 말한다.
&lt;예 시&gt;
·외항 여객 정기 운송
·외항 여객 부정기 운송
·유람선 운영(외국 항로)
·외항 여객 선박 임대(승무원 딸린)</t>
        </is>
      </c>
      <c r="G1099" s="90" t="n">
        <v>88.2</v>
      </c>
      <c r="H1099" s="90" t="n">
        <v>0</v>
      </c>
      <c r="I1099" s="90" t="n">
        <v>24.7</v>
      </c>
    </row>
    <row r="1100">
      <c r="A1100" s="65" t="inlineStr">
        <is>
          <t>612000</t>
        </is>
      </c>
      <c r="B1100" s="68" t="inlineStr">
        <is>
          <t>운수 및 창고업</t>
        </is>
      </c>
      <c r="C1100" s="68" t="inlineStr">
        <is>
          <t>수상 운송업</t>
        </is>
      </c>
      <c r="D1100" s="68" t="inlineStr">
        <is>
          <t>내륙 수상 및 항만 내 운송업</t>
        </is>
      </c>
      <c r="E1100" s="68" t="inlineStr">
        <is>
          <t>기타 내륙 수상 여객 및 화물 운송업</t>
        </is>
      </c>
      <c r="F1100" s="68" t="inlineStr">
        <is>
          <t>◦강, 호수 등 내수면에서 선박에 의하여 여객 및 화물을 운송하는 산업활동을 말한다.
&lt;예 시&gt;
·유람선 운영(내륙 수상)
·승무원이 동승하는 내륙 여객선 임대
·내륙 수상 택시 운영
·내륙 화물 선박 임대(승무원 딸린)
&lt;제 외&gt;
·물놀이 시설에서 오락용 보트 임대(924915)</t>
        </is>
      </c>
      <c r="G1100" s="90" t="n">
        <v>87.59999999999999</v>
      </c>
      <c r="H1100" s="90" t="n">
        <v>0</v>
      </c>
      <c r="I1100" s="90" t="n">
        <v>29.5</v>
      </c>
    </row>
    <row r="1101">
      <c r="A1101" s="65" t="inlineStr">
        <is>
          <t>612001</t>
        </is>
      </c>
      <c r="B1101" s="68" t="inlineStr">
        <is>
          <t>운수 및 창고업</t>
        </is>
      </c>
      <c r="C1101" s="68" t="inlineStr">
        <is>
          <t>수상 운송업</t>
        </is>
      </c>
      <c r="D1101" s="68" t="inlineStr">
        <is>
          <t>내륙 수상 및 항만 내 운송업</t>
        </is>
      </c>
      <c r="E1101" s="68" t="inlineStr">
        <is>
          <t>항만 내 여객 운송업</t>
        </is>
      </c>
      <c r="F1101" s="68" t="inlineStr">
        <is>
          <t>◦항만 내에서 선박에 의하여 여객을 운송하는 산업활동을 말한다.
&lt;예 시&gt;
·항만 내 여객 운송
·항만 내 유람선업
&lt;제 외&gt;
·항만 내 화물 취급업(630102)
·항만 내 화물 운송(612003)
·항만 내 바지선(운전자 딸린) 임대(630102)</t>
        </is>
      </c>
      <c r="G1101" s="90" t="n">
        <v>88.7</v>
      </c>
      <c r="H1101" s="90" t="n">
        <v>0</v>
      </c>
      <c r="I1101" s="90" t="n">
        <v>25.2</v>
      </c>
    </row>
    <row r="1102">
      <c r="A1102" s="65" t="inlineStr">
        <is>
          <t>612002</t>
        </is>
      </c>
      <c r="B1102" s="68" t="inlineStr">
        <is>
          <t>운수 및 창고업</t>
        </is>
      </c>
      <c r="C1102" s="68" t="inlineStr">
        <is>
          <t>수상 운송업</t>
        </is>
      </c>
      <c r="D1102" s="68" t="inlineStr">
        <is>
          <t>내륙 수상 및 항만 내 운송업</t>
        </is>
      </c>
      <c r="E1102" s="68" t="inlineStr">
        <is>
          <t>기타 내륙 수상 여객 및 화물 운송업</t>
        </is>
      </c>
      <c r="F1102" s="68" t="inlineStr">
        <is>
          <t>◦기타 내륙 수상 운송업을 수행하는 산업활동을 말한다.
&lt;예 시&gt;
·예인선 운영(내륙 수상)
·승무원이 동승하는 내수면 오락용 낚싯배 운영
&lt;제 외&gt;
·하역업체가 거룻배를 운영할 경우(612003)</t>
        </is>
      </c>
      <c r="G1102" s="90" t="n">
        <v>88.7</v>
      </c>
      <c r="H1102" s="90" t="n">
        <v>0</v>
      </c>
      <c r="I1102" s="90" t="n">
        <v>25.2</v>
      </c>
    </row>
    <row r="1103">
      <c r="A1103" s="65" t="inlineStr">
        <is>
          <t>612003</t>
        </is>
      </c>
      <c r="B1103" s="68" t="inlineStr">
        <is>
          <t>운수 및 창고업</t>
        </is>
      </c>
      <c r="C1103" s="68" t="inlineStr">
        <is>
          <t>창고 및 운송관련 서비스업</t>
        </is>
      </c>
      <c r="D1103" s="68" t="inlineStr">
        <is>
          <t>화물 취급업</t>
        </is>
      </c>
      <c r="E1103" s="68" t="inlineStr">
        <is>
          <t>수상 화물 취급업</t>
        </is>
      </c>
      <c r="F1103" s="68" t="inlineStr">
        <is>
          <t>◦강ㆍ운하, 항만내에서 화물운송을 위한 선박운영</t>
        </is>
      </c>
      <c r="G1103" s="90" t="n">
        <v>88.7</v>
      </c>
      <c r="H1103" s="90" t="n">
        <v>0</v>
      </c>
      <c r="I1103" s="90" t="n">
        <v>25.2</v>
      </c>
    </row>
    <row r="1104">
      <c r="A1104" s="65" t="inlineStr">
        <is>
          <t>621000</t>
        </is>
      </c>
      <c r="B1104" s="68" t="inlineStr">
        <is>
          <t>운수 및 창고업</t>
        </is>
      </c>
      <c r="C1104" s="68" t="inlineStr">
        <is>
          <t>항공 운송업</t>
        </is>
      </c>
      <c r="D1104" s="68" t="inlineStr">
        <is>
          <t>항공 여객 운송업</t>
        </is>
      </c>
      <c r="E1104" s="68" t="inlineStr">
        <is>
          <t>항공 여객 운송업</t>
        </is>
      </c>
      <c r="F1104" s="68" t="inlineStr">
        <is>
          <t>◦항공기 또는 우주선 등에 의하여 국내◦외 항공 여객을 운송하는 산업활동을 말한다.
&lt;예 시&gt;
·항공 여객 운송(정기)
·항공 여객 운송(부정기)
·여객용 전세기 운송
·항공 동호회 등 단체에 의한 교육 및 오락 목적의 여객 운송</t>
        </is>
      </c>
      <c r="G1104" s="90" t="n">
        <v>97</v>
      </c>
      <c r="H1104" s="90" t="n">
        <v>0</v>
      </c>
      <c r="I1104" s="90" t="n">
        <v>23.5</v>
      </c>
    </row>
    <row r="1105">
      <c r="A1105" s="65" t="inlineStr">
        <is>
          <t>621001</t>
        </is>
      </c>
      <c r="B1105" s="68" t="inlineStr">
        <is>
          <t>운수 및 창고업</t>
        </is>
      </c>
      <c r="C1105" s="68" t="inlineStr">
        <is>
          <t>항공 운송업</t>
        </is>
      </c>
      <c r="D1105" s="68" t="inlineStr">
        <is>
          <t>항공 화물 운송업</t>
        </is>
      </c>
      <c r="E1105" s="68" t="inlineStr">
        <is>
          <t>항공 화물 운송업</t>
        </is>
      </c>
      <c r="F1105" s="68" t="inlineStr">
        <is>
          <t>◦항공기 또는 우주선 등에 의하여 국내◦외 항공 화물을 운송하는 산업활동을 말한다. 운전자가 딸린 항공기 임대활동도 포함한다.
&lt;예 시&gt;
·항공 화물 부정기 운송
·항공 화물 정기운송
·우주선 운행
·화물 운송 항공기 임대(조종사 딸린)
·각종 위성 및 우주선 발사업 운영
·화물 및 여객의 우주 운송
&lt;제 외&gt;
·항공기를 이용하여 직접 특정 용역사업을 수행할 경우에는 그 용역사업 내용에 따라 각각 분류
·소화물 택배 운송업(630901), 늘찬 배달업(630904)</t>
        </is>
      </c>
      <c r="G1105" s="90" t="n">
        <v>97</v>
      </c>
      <c r="H1105" s="90" t="n">
        <v>0</v>
      </c>
      <c r="I1105" s="90" t="n">
        <v>23.5</v>
      </c>
    </row>
    <row r="1106">
      <c r="A1106" s="65" t="inlineStr">
        <is>
          <t>630101</t>
        </is>
      </c>
      <c r="B1106" s="68" t="inlineStr">
        <is>
          <t>운수 및 창고업</t>
        </is>
      </c>
      <c r="C1106" s="68" t="inlineStr">
        <is>
          <t>창고 및 운송관련 서비스업</t>
        </is>
      </c>
      <c r="D1106" s="68" t="inlineStr">
        <is>
          <t>화물 취급업</t>
        </is>
      </c>
      <c r="E1106" s="68" t="inlineStr">
        <is>
          <t>항공 및 육상 화물 취급업</t>
        </is>
      </c>
      <c r="F1106" s="68" t="inlineStr">
        <is>
          <t>◦항공 및 육상, 철도 운송장비에 화물을 적재 및 하역하는 산업활동을 말한다.
&lt;예 시&gt;
·항공 화물 하역
·육상 화물 하역
·철도 화물 하역</t>
        </is>
      </c>
      <c r="G1106" s="90" t="n">
        <v>89.2</v>
      </c>
      <c r="H1106" s="90" t="n">
        <v>0</v>
      </c>
      <c r="I1106" s="90" t="n">
        <v>18.9</v>
      </c>
    </row>
    <row r="1107">
      <c r="A1107" s="65" t="inlineStr">
        <is>
          <t>630102</t>
        </is>
      </c>
      <c r="B1107" s="68" t="inlineStr">
        <is>
          <t>운수 및 창고업</t>
        </is>
      </c>
      <c r="C1107" s="68" t="inlineStr">
        <is>
          <t>창고 및 운송관련 서비스업</t>
        </is>
      </c>
      <c r="D1107" s="68" t="inlineStr">
        <is>
          <t>화물 취급업</t>
        </is>
      </c>
      <c r="E1107" s="68" t="inlineStr">
        <is>
          <t>수상 화물 취급업</t>
        </is>
      </c>
      <c r="F1107" s="68" t="inlineStr">
        <is>
          <t>◦항구 내에서 선박과 부두, 선박과 선박 간에 직접 화물을 운반하여 이를 선적 또는 하역하는 산업활동을 말한다.
&lt;예 시&gt;
·수상 화물 하역
·항만 내 화물 취급업
·항만 내 바지선(운전자 딸린) 임대
&lt;제 외&gt;
*강ㆍ운하, 항만내에서 화물운송을 위한 선박운영(→612003)</t>
        </is>
      </c>
      <c r="G1107" s="90" t="n">
        <v>92.40000000000001</v>
      </c>
      <c r="H1107" s="90" t="n">
        <v>0</v>
      </c>
      <c r="I1107" s="90" t="n">
        <v>20.5</v>
      </c>
    </row>
    <row r="1108">
      <c r="A1108" s="65" t="inlineStr">
        <is>
          <t>630201</t>
        </is>
      </c>
      <c r="B1108" s="68" t="inlineStr">
        <is>
          <t>운수 및 창고업</t>
        </is>
      </c>
      <c r="C1108" s="68" t="inlineStr">
        <is>
          <t>창고 및 운송관련 서비스업</t>
        </is>
      </c>
      <c r="D1108" s="68" t="inlineStr">
        <is>
          <t>보관 및 창고업</t>
        </is>
      </c>
      <c r="E1108" s="68" t="inlineStr">
        <is>
          <t>일반 창고업</t>
        </is>
      </c>
      <c r="F1108" s="68" t="inlineStr">
        <is>
          <t>◦온도 조절장치 등 물품 보존에 필요한 특수한 시설 없이 보통 상온에서 보존이 가능한 물품을 보관하는 산업활동을 말한다.
&lt;예 시&gt;
·보통 창고 운영
·일반 물품 보세창고 운영</t>
        </is>
      </c>
      <c r="G1108" s="90" t="n">
        <v>80.59999999999999</v>
      </c>
      <c r="H1108" s="90" t="n">
        <v>0</v>
      </c>
      <c r="I1108" s="90" t="n">
        <v>22.5</v>
      </c>
    </row>
    <row r="1109">
      <c r="A1109" s="65" t="inlineStr">
        <is>
          <t>630202</t>
        </is>
      </c>
      <c r="B1109" s="68" t="inlineStr">
        <is>
          <t>운수 및 창고업</t>
        </is>
      </c>
      <c r="C1109" s="68" t="inlineStr">
        <is>
          <t>창고 및 운송관련 서비스업</t>
        </is>
      </c>
      <c r="D1109" s="68" t="inlineStr">
        <is>
          <t>보관 및 창고업</t>
        </is>
      </c>
      <c r="E1109" s="68" t="inlineStr">
        <is>
          <t>냉장 및 냉동 창고업</t>
        </is>
      </c>
      <c r="F1109" s="68" t="inlineStr">
        <is>
          <t>◦상온에서 부패될 수 있는 물품을 보관하기 위하여 인공적으로 저온을 유지하여 물품을 보관하는 산업활동을 말한다. 이 사업체는 창고 내에 급속 냉동시설을 보유할 수 있다.
&lt;예 시&gt;
·냉장 창고 운영
·냉동 물품 보관
·얼음 보관소 운영
·모피 보관(냉동)
·냉동 식품 보관
·농산물 보관(냉동·냉장)
&lt;제 외&gt;
·일반 농산물 보관(630203)
·미곡 종합 처리장(153102)
·수수료에 의하여 위탁된 농·수산물 및 가공 식품을 냉동 처리하는 경우에는 대상 품목에 따라 “15 : 식료품 제조업”의 적합한 항목에 각각 분류</t>
        </is>
      </c>
      <c r="G1109" s="90" t="n">
        <v>76.90000000000001</v>
      </c>
      <c r="H1109" s="90" t="n">
        <v>0</v>
      </c>
      <c r="I1109" s="90" t="n">
        <v>20.9</v>
      </c>
    </row>
    <row r="1110">
      <c r="A1110" s="65" t="inlineStr">
        <is>
          <t>630203</t>
        </is>
      </c>
      <c r="B1110" s="68" t="inlineStr">
        <is>
          <t>운수 및 창고업</t>
        </is>
      </c>
      <c r="C1110" s="68" t="inlineStr">
        <is>
          <t>창고 및 운송관련 서비스업</t>
        </is>
      </c>
      <c r="D1110" s="68" t="inlineStr">
        <is>
          <t>보관 및 창고업</t>
        </is>
      </c>
      <c r="E1110" s="68" t="inlineStr">
        <is>
          <t>농산물 창고업</t>
        </is>
      </c>
      <c r="F1110" s="68" t="inlineStr">
        <is>
          <t>◦미포장 벌크 상태 또는 포장된 농산물을 냉장◦냉동 이외의 방법으로 보관하는 산업활동을 말한다.
&lt;예 시&gt;
·곡물 창고
&lt;제 외&gt;
·농산물의 냉장·냉동 보관(630202)</t>
        </is>
      </c>
      <c r="G1110" s="90" t="n">
        <v>76.3</v>
      </c>
      <c r="H1110" s="90" t="n">
        <v>0</v>
      </c>
      <c r="I1110" s="90" t="n">
        <v>17.7</v>
      </c>
    </row>
    <row r="1111">
      <c r="A1111" s="65" t="inlineStr">
        <is>
          <t>630204</t>
        </is>
      </c>
      <c r="B1111" s="68" t="inlineStr">
        <is>
          <t>운수 및 창고업</t>
        </is>
      </c>
      <c r="C1111" s="68" t="inlineStr">
        <is>
          <t>창고 및 운송관련 서비스업</t>
        </is>
      </c>
      <c r="D1111" s="68" t="inlineStr">
        <is>
          <t>보관 및 창고업</t>
        </is>
      </c>
      <c r="E1111" s="68" t="inlineStr">
        <is>
          <t>위험 물품 보관업</t>
        </is>
      </c>
      <c r="F1111" s="68" t="inlineStr">
        <is>
          <t>◦특별한 안전 유지가 요구되는 발화성 또는 인화성 물질 등을 보관하는 산업활동을 말한다.
&lt;예 시&gt;
·가스성 화물 보관소
·액체 인화물 보관소
·화학 물질 창고 운영
·위험물 창고 운영
·가스 포장 화물 창고 운영
·미포장 벌크 상태의 석유 및 가스 보관
&lt;제 외&gt;
·가스 및 원유의 도매활동에 결합된 창고 운영(514121,514130)</t>
        </is>
      </c>
      <c r="G1111" s="90" t="n">
        <v>76.3</v>
      </c>
      <c r="H1111" s="90" t="n">
        <v>0</v>
      </c>
      <c r="I1111" s="90" t="n">
        <v>19.3</v>
      </c>
    </row>
    <row r="1112">
      <c r="A1112" s="65" t="inlineStr">
        <is>
          <t>630205</t>
        </is>
      </c>
      <c r="B1112" s="68" t="inlineStr">
        <is>
          <t>운수 및 창고업</t>
        </is>
      </c>
      <c r="C1112" s="68" t="inlineStr">
        <is>
          <t>창고 및 운송관련 서비스업</t>
        </is>
      </c>
      <c r="D1112" s="68" t="inlineStr">
        <is>
          <t>보관 및 창고업</t>
        </is>
      </c>
      <c r="E1112" s="68" t="inlineStr">
        <is>
          <t>기타 보관 및 창고업</t>
        </is>
      </c>
      <c r="F1112" s="68" t="inlineStr">
        <is>
          <t>◦기타 물품을 보관하는 산업활동을 말한다.
&lt;예 시&gt;
·목재 하치장 운영
·냉장·냉동 이외 특수 처리를 필요로 하는 주류 보관 창고 운영
·수면 목재 창고 운영
·차량 보관소 운영
&lt;제 외&gt;
·주차장 운영(630303)</t>
        </is>
      </c>
      <c r="G1112" s="90" t="n">
        <v>81</v>
      </c>
      <c r="H1112" s="90" t="n">
        <v>0</v>
      </c>
      <c r="I1112" s="90" t="n">
        <v>22.6</v>
      </c>
    </row>
    <row r="1113">
      <c r="A1113" s="65" t="inlineStr">
        <is>
          <t>630301</t>
        </is>
      </c>
      <c r="B1113" s="68" t="inlineStr">
        <is>
          <t>운수 및 창고업</t>
        </is>
      </c>
      <c r="C1113" s="68" t="inlineStr">
        <is>
          <t>창고 및 운송관련 서비스업</t>
        </is>
      </c>
      <c r="D1113" s="68" t="inlineStr">
        <is>
          <t>육상 운송 지원 서비스업</t>
        </is>
      </c>
      <c r="E1113" s="68" t="inlineStr">
        <is>
          <t>철도 운송 지원 서비스업</t>
        </is>
      </c>
      <c r="F1113" s="68" t="inlineStr">
        <is>
          <t>◦도시 내 또는 도시 간 철도 운송에 관련된 여객 및 화물 터미널 운영과 기타 철도 운송 지원 서비스를 제공하는 산업활동을 말한다.
&lt;예 시&gt;
·철도 차량 터미널 운영
·철도 차량 점검 및 유지·관리</t>
        </is>
      </c>
      <c r="G1113" s="90" t="n">
        <v>91.5</v>
      </c>
      <c r="H1113" s="90" t="n">
        <v>0</v>
      </c>
      <c r="I1113" s="90" t="n">
        <v>25.2</v>
      </c>
    </row>
    <row r="1114">
      <c r="A1114" s="65" t="inlineStr">
        <is>
          <t>630302</t>
        </is>
      </c>
      <c r="B1114" s="68" t="inlineStr">
        <is>
          <t>운수 및 창고업</t>
        </is>
      </c>
      <c r="C1114" s="68" t="inlineStr">
        <is>
          <t>창고 및 운송관련 서비스업</t>
        </is>
      </c>
      <c r="D1114" s="68" t="inlineStr">
        <is>
          <t>육상 운송 지원 서비스업</t>
        </is>
      </c>
      <c r="E1114" s="68" t="inlineStr">
        <is>
          <t>여객 자동차 터미널 운영업</t>
        </is>
      </c>
      <c r="F1114" s="68" t="inlineStr">
        <is>
          <t>◦승합 자동차의 정류 및 여객의 승◦하차를 위한 여객 자동차 터미널 시설을 운영하는 산업활동을 말한다.
&lt;예 시&gt;&gt;
·버스 정류장 운영(여객)
&lt;제 외&gt;
·주차장 운영(630303)
·매표소 운영(523990)</t>
        </is>
      </c>
      <c r="G1114" s="90" t="n">
        <v>87.59999999999999</v>
      </c>
      <c r="H1114" s="90" t="n">
        <v>0</v>
      </c>
      <c r="I1114" s="90" t="n">
        <v>31.3</v>
      </c>
    </row>
    <row r="1115">
      <c r="A1115" s="65" t="inlineStr">
        <is>
          <t>630303</t>
        </is>
      </c>
      <c r="B1115" s="68" t="inlineStr">
        <is>
          <t>운수 및 창고업</t>
        </is>
      </c>
      <c r="C1115" s="68" t="inlineStr">
        <is>
          <t>창고 및 운송관련 서비스업</t>
        </is>
      </c>
      <c r="D1115" s="68" t="inlineStr">
        <is>
          <t>육상 운송 지원 서비스업</t>
        </is>
      </c>
      <c r="E1115" s="68" t="inlineStr">
        <is>
          <t>주차장 운영업</t>
        </is>
      </c>
      <c r="F1115" s="68" t="inlineStr">
        <is>
          <t>◦수수료를 받고 자동차를 일정 시간 주차시키는 산업활동을 말한다.
&lt;예 시&gt;
·주차장 운영
&lt;제 외&gt;
·차량 장기 보관소 운영(630205)</t>
        </is>
      </c>
      <c r="G1115" s="90" t="n">
        <v>82.7</v>
      </c>
      <c r="H1115" s="90" t="n">
        <v>0</v>
      </c>
      <c r="I1115" s="90" t="n">
        <v>16.7</v>
      </c>
    </row>
    <row r="1116">
      <c r="A1116" s="65" t="inlineStr">
        <is>
          <t>630304</t>
        </is>
      </c>
      <c r="B1116" s="68" t="inlineStr">
        <is>
          <t>사업시설 관리, 사업지원 및 임대 서비스업</t>
        </is>
      </c>
      <c r="C1116" s="68" t="inlineStr">
        <is>
          <t>임대업: 부동산 제외</t>
        </is>
      </c>
      <c r="D1116" s="68" t="inlineStr">
        <is>
          <t>자동차 임대업</t>
        </is>
      </c>
      <c r="E1116" s="68" t="inlineStr">
        <is>
          <t>자동차 임대업(렌트카)</t>
        </is>
      </c>
      <c r="F1116" s="68" t="inlineStr">
        <is>
          <t>◦운전자 없이 승용 및 화물 자동차를 리스 또는 임대하는 산업활동을 말한다.
&lt;예 시&gt;
·승용차 임대
·리무진 임대
·버스 임대
·트럭 임대
·화물 자동차 임대
·레저용 차량 임대</t>
        </is>
      </c>
      <c r="G1116" s="90" t="n">
        <v>82.09999999999999</v>
      </c>
      <c r="H1116" s="90" t="n">
        <v>0</v>
      </c>
      <c r="I1116" s="90" t="n">
        <v>29.7</v>
      </c>
    </row>
    <row r="1117">
      <c r="A1117" s="65" t="inlineStr">
        <is>
          <t>630305</t>
        </is>
      </c>
      <c r="B1117" s="68" t="inlineStr">
        <is>
          <t>운수 및 창고업</t>
        </is>
      </c>
      <c r="C1117" s="68" t="inlineStr">
        <is>
          <t>창고 및 운송관련 서비스업</t>
        </is>
      </c>
      <c r="D1117" s="68" t="inlineStr">
        <is>
          <t>육상 운송 지원 서비스업</t>
        </is>
      </c>
      <c r="E1117" s="68" t="inlineStr">
        <is>
          <t>물류 터미널 운영업</t>
        </is>
      </c>
      <c r="F1117" s="68" t="inlineStr">
        <is>
          <t>◦육상 화물의 집하, 하역, 분류, 포장, 보관 등에 필요한 물류 터미널을 운영하는 산업활동을 말한다.
&lt;예 시&gt;
·복합ㆍ일반 물류 터미널 운영</t>
        </is>
      </c>
      <c r="G1117" s="90" t="n">
        <v>87.59999999999999</v>
      </c>
      <c r="H1117" s="90" t="n">
        <v>0</v>
      </c>
      <c r="I1117" s="90" t="n">
        <v>31.3</v>
      </c>
    </row>
    <row r="1118">
      <c r="A1118" s="65" t="inlineStr">
        <is>
          <t>630309</t>
        </is>
      </c>
      <c r="B1118" s="68" t="inlineStr">
        <is>
          <t>운수 및 창고업</t>
        </is>
      </c>
      <c r="C1118" s="68" t="inlineStr">
        <is>
          <t>창고 및 운송관련 서비스업</t>
        </is>
      </c>
      <c r="D1118" s="68" t="inlineStr">
        <is>
          <t>육상 운송 지원 서비스업</t>
        </is>
      </c>
      <c r="E1118" s="68" t="inlineStr">
        <is>
          <t>기타 육상 운송지원 서비스업</t>
        </is>
      </c>
      <c r="F1118" s="68" t="inlineStr">
        <is>
          <t>◦기타 육상 운송지원 서비스를 수행하는 산업활동을 말한다.
&lt;예 시&gt;
·콜택시 연결 서비스
&lt;제 외&gt;
*대리운전연결업체(→930917)</t>
        </is>
      </c>
      <c r="G1118" s="90" t="n">
        <v>84.90000000000001</v>
      </c>
      <c r="H1118" s="90" t="n">
        <v>0</v>
      </c>
      <c r="I1118" s="90" t="n">
        <v>29.2</v>
      </c>
    </row>
    <row r="1119">
      <c r="A1119" s="65" t="inlineStr">
        <is>
          <t>630311</t>
        </is>
      </c>
      <c r="B1119" s="68" t="inlineStr">
        <is>
          <t>운수 및 창고업</t>
        </is>
      </c>
      <c r="C1119" s="68" t="inlineStr">
        <is>
          <t>창고 및 운송관련 서비스업</t>
        </is>
      </c>
      <c r="D1119" s="68" t="inlineStr">
        <is>
          <t>육상 운송 지원 서비스업</t>
        </is>
      </c>
      <c r="E1119" s="68" t="inlineStr">
        <is>
          <t>도로 및 관련시설 운영업</t>
        </is>
      </c>
      <c r="F1119" s="68" t="inlineStr">
        <is>
          <t>◦유료 도로, 터널, 교량 등을 운영하는 산업활동을 말한다.
&lt;예 시&gt;
·유료 고가 도로 운영
&lt;제 외&gt;
*고속도로 톨게이트 통행료 징수대행사업(→749930)</t>
        </is>
      </c>
      <c r="G1119" s="90" t="n">
        <v>81.3</v>
      </c>
      <c r="H1119" s="90" t="n">
        <v>0</v>
      </c>
      <c r="I1119" s="90" t="n">
        <v>19.5</v>
      </c>
    </row>
    <row r="1120">
      <c r="A1120" s="65" t="inlineStr">
        <is>
          <t>630401</t>
        </is>
      </c>
      <c r="B1120" s="68" t="inlineStr">
        <is>
          <t>운수 및 창고업</t>
        </is>
      </c>
      <c r="C1120" s="68" t="inlineStr">
        <is>
          <t>창고 및 운송관련 서비스업</t>
        </is>
      </c>
      <c r="D1120" s="68" t="inlineStr">
        <is>
          <t>수상 운송 지원 서비스업</t>
        </is>
      </c>
      <c r="E1120" s="68" t="inlineStr">
        <is>
          <t>기타 수상 운송 지원 서비스업</t>
        </is>
      </c>
      <c r="F1120" s="68" t="inlineStr">
        <is>
          <t>◦원양 및 근해 또는 내륙수로에서 침몰선의 인양, 전복선박의 바로잡기, 좌초한 선박의 부상작업, 침몰선의 화물회수, 조난선의 예인 등을 수행하는 업
◦선박 구난 및 인양 서비스 포함
·구조예인선운영, 조난선인양서비스 등</t>
        </is>
      </c>
      <c r="G1120" s="90" t="n">
        <v>58.2</v>
      </c>
      <c r="H1120" s="90" t="n">
        <v>0</v>
      </c>
      <c r="I1120" s="90" t="n">
        <v>29.8</v>
      </c>
    </row>
    <row r="1121">
      <c r="A1121" s="65" t="inlineStr">
        <is>
          <t>630402</t>
        </is>
      </c>
      <c r="B1121" s="68" t="inlineStr">
        <is>
          <t>운수 및 창고업</t>
        </is>
      </c>
      <c r="C1121" s="68" t="inlineStr">
        <is>
          <t>창고 및 운송관련 서비스업</t>
        </is>
      </c>
      <c r="D1121" s="68" t="inlineStr">
        <is>
          <t>수상 운송 지원 서비스업</t>
        </is>
      </c>
      <c r="E1121" s="68" t="inlineStr">
        <is>
          <t>선박관리업, 기타 수상 운송 지원 서비스업</t>
        </is>
      </c>
      <c r="F1121" s="68" t="inlineStr">
        <is>
          <t>◦선박이 항구를 입․출항하는 산업활동 등 기타 수상 운송 지원 서비스를 제공하는 산업활동을 말한다.
◦선박소유자로부터 선박 관련 총괄적인 업무에 관한 중개·알선·관리 감독 등을 수탁받아 선박관리를 수행하는 산업활동을 말한다.
&lt;예 시&gt;
·등대 운영
·수로, 갑문 운영
·운하 운영
·선박관리에 필요한 기술적·상업적인 활동 관리     
·항해 조력 서비스
&lt;제 외&gt;
·해상 터미널시설 운영(630405)
·선박 소독 및 해충 구제 서비스(749302)
·선박 및 유조선 청소(900900)
*침몰선의 인양, 전복선박의 바로잡기, 좌초한 선박의 부상작업, 침몰선의 화물회수, 조난선의 예인 등을 수행, 선박 구난 및 인양 서비스 포함(→630401)
*도선사(→630403)</t>
        </is>
      </c>
      <c r="G1121" s="90" t="n">
        <v>83.90000000000001</v>
      </c>
      <c r="H1121" s="90" t="n">
        <v>0</v>
      </c>
      <c r="I1121" s="90" t="n">
        <v>13.1</v>
      </c>
    </row>
    <row r="1122">
      <c r="A1122" s="65" t="inlineStr">
        <is>
          <t>630403</t>
        </is>
      </c>
      <c r="B1122" s="68" t="inlineStr">
        <is>
          <t>운수 및 창고업</t>
        </is>
      </c>
      <c r="C1122" s="68" t="inlineStr">
        <is>
          <t>창고 및 운송관련 서비스업</t>
        </is>
      </c>
      <c r="D1122" s="68" t="inlineStr">
        <is>
          <t>수상 운송 지원 서비스업</t>
        </is>
      </c>
      <c r="E1122" s="68" t="inlineStr">
        <is>
          <t>기타 수상 운송 지원 서비스업</t>
        </is>
      </c>
      <c r="F1122" s="68" t="inlineStr">
        <is>
          <t>◦도선사(항구내 또는 항구외로 선박을 인도하거나 항해위험지구에 수로안내활동을 하는 업)</t>
        </is>
      </c>
      <c r="G1122" s="90" t="n">
        <v>60.2</v>
      </c>
      <c r="H1122" s="90" t="n">
        <v>0</v>
      </c>
      <c r="I1122" s="90" t="n">
        <v>34.7</v>
      </c>
    </row>
    <row r="1123">
      <c r="A1123" s="65" t="inlineStr">
        <is>
          <t>630405</t>
        </is>
      </c>
      <c r="B1123" s="68" t="inlineStr">
        <is>
          <t>운수 및 창고업</t>
        </is>
      </c>
      <c r="C1123" s="68" t="inlineStr">
        <is>
          <t>창고 및 운송관련 서비스업</t>
        </is>
      </c>
      <c r="D1123" s="68" t="inlineStr">
        <is>
          <t>수상 운송 지원 서비스업</t>
        </is>
      </c>
      <c r="E1123" s="68" t="inlineStr">
        <is>
          <t>항구 및 기타 해상 터미널 운영업</t>
        </is>
      </c>
      <c r="F1123" s="68" t="inlineStr">
        <is>
          <t>◦항구, 부두, 도크, 잔교 및 해상 터미널 등을 운영하는 산업활동을 말한다.
&lt;예 시&gt;
·항만시설 운영
·해상 터미널시설 운영</t>
        </is>
      </c>
      <c r="G1123" s="90" t="n">
        <v>83.90000000000001</v>
      </c>
      <c r="H1123" s="90" t="n">
        <v>0</v>
      </c>
      <c r="I1123" s="90" t="n">
        <v>25.2</v>
      </c>
    </row>
    <row r="1124">
      <c r="A1124" s="65" t="inlineStr">
        <is>
          <t>630500</t>
        </is>
      </c>
      <c r="B1124" s="68" t="inlineStr">
        <is>
          <t>운수 및 창고업</t>
        </is>
      </c>
      <c r="C1124" s="68" t="inlineStr">
        <is>
          <t>창고 및 운송관련 서비스업</t>
        </is>
      </c>
      <c r="D1124" s="68" t="inlineStr">
        <is>
          <t>항공 운송 지원 서비스업</t>
        </is>
      </c>
      <c r="E1124" s="68" t="inlineStr">
        <is>
          <t>기타 항공 운송지원 서비스업</t>
        </is>
      </c>
      <c r="F1124" s="68" t="inlineStr">
        <is>
          <t>◦기타 항공 운송지원 서비스를 제공하는 산업활동을 말한다.
&lt;예 시&gt;
·공항 지상 서비스
·비행기 견인
·격납고 서비스
·급유 점검(경상 유지)
·항공기 관제 서비스
·공항설비 운영(항공 터미널 제외)
&lt;제 외&gt;
·무선 표지 및 레이더 통신소(642003)</t>
        </is>
      </c>
      <c r="G1124" s="90" t="n">
        <v>97.2</v>
      </c>
      <c r="H1124" s="90" t="n">
        <v>0</v>
      </c>
      <c r="I1124" s="90" t="n">
        <v>25.2</v>
      </c>
    </row>
    <row r="1125">
      <c r="A1125" s="65" t="inlineStr">
        <is>
          <t>630501</t>
        </is>
      </c>
      <c r="B1125" s="68" t="inlineStr">
        <is>
          <t>운수 및 창고업</t>
        </is>
      </c>
      <c r="C1125" s="68" t="inlineStr">
        <is>
          <t>창고 및 운송관련 서비스업</t>
        </is>
      </c>
      <c r="D1125" s="68" t="inlineStr">
        <is>
          <t>항공 운송 지원 서비스업</t>
        </is>
      </c>
      <c r="E1125" s="68" t="inlineStr">
        <is>
          <t>공항 운영업</t>
        </is>
      </c>
      <c r="F1125" s="68" t="inlineStr">
        <is>
          <t>◦비행기가 이◦착륙하기 위한 시설을 운영하는 산업활동을 말한다.
&lt;예 시&gt;
·항공 터미널시설 운영
·비행장 운영업</t>
        </is>
      </c>
      <c r="G1125" s="90" t="n">
        <v>97.2</v>
      </c>
      <c r="H1125" s="90" t="n">
        <v>0</v>
      </c>
      <c r="I1125" s="90" t="n">
        <v>25.2</v>
      </c>
    </row>
    <row r="1126">
      <c r="A1126" s="65" t="inlineStr">
        <is>
          <t>630600</t>
        </is>
      </c>
      <c r="B1126" s="68" t="inlineStr">
        <is>
          <t>사업시설 관리, 사업지원 및 임대 서비스업</t>
        </is>
      </c>
      <c r="C1126" s="68" t="inlineStr">
        <is>
          <t>사업지원 서비스업</t>
        </is>
      </c>
      <c r="D1126" s="68" t="inlineStr">
        <is>
          <t>여행사업</t>
        </is>
      </c>
      <c r="E1126" s="68" t="inlineStr">
        <is>
          <t>여행사업</t>
        </is>
      </c>
      <c r="F1126" s="68" t="inlineStr">
        <is>
          <t>◦국내◦외를 여행하는 관광객을 대상으로 여행관련 시설 이용의 알선, 여행에 관한 안내, 계약 체결의 대리 및 기타 여행의 편의를 제공하는 산업활동을 말하며, 부수적으로 항공권, 숙박시설 이용권, 레포츠 시설 이용권 등의 판매 대리 활동을 수행할 수 있다.
&lt;예 시&gt;
·일반 여행사
·국외 여행사</t>
        </is>
      </c>
      <c r="G1126" s="90" t="n">
        <v>84.2</v>
      </c>
      <c r="H1126" s="90" t="n">
        <v>0</v>
      </c>
      <c r="I1126" s="90" t="n">
        <v>23.9</v>
      </c>
    </row>
    <row r="1127">
      <c r="A1127" s="65" t="inlineStr">
        <is>
          <t>630601</t>
        </is>
      </c>
      <c r="B1127" s="68" t="inlineStr">
        <is>
          <t>사업시설 관리, 사업지원 및 임대 서비스업</t>
        </is>
      </c>
      <c r="C1127" s="68" t="inlineStr">
        <is>
          <t>사업지원 서비스업</t>
        </is>
      </c>
      <c r="D1127" s="68" t="inlineStr">
        <is>
          <t>기타 여행 보조 및 예약 서비스업</t>
        </is>
      </c>
      <c r="E1127" s="68" t="inlineStr">
        <is>
          <t>기타 여행 보조 및 예약 서비스업</t>
        </is>
      </c>
      <c r="F1127" s="68" t="inlineStr">
        <is>
          <t>◦기타 여행 지원 서비스업을 수행하는 산업활동을 말한다.
&lt;예 시&gt;
·관광 안내소
·카풀체계 운영
·매표 대리(여객 자동차 매표 대리 포함)
·숙식 알선
·여행자 가이드(안내) 서비스
·숙박 예약 대리
&lt;제 외&gt;
*버스표(→523990)</t>
        </is>
      </c>
      <c r="G1127" s="90" t="n">
        <v>86.90000000000001</v>
      </c>
      <c r="H1127" s="90" t="n">
        <v>0</v>
      </c>
      <c r="I1127" s="90" t="n">
        <v>34.7</v>
      </c>
    </row>
    <row r="1128">
      <c r="A1128" s="65" t="inlineStr">
        <is>
          <t>630701</t>
        </is>
      </c>
      <c r="B1128" s="68" t="inlineStr">
        <is>
          <t>운수 및 창고업</t>
        </is>
      </c>
      <c r="C1128" s="68" t="inlineStr">
        <is>
          <t>육상 운송 및 파이프라인 운송업</t>
        </is>
      </c>
      <c r="D1128" s="68" t="inlineStr">
        <is>
          <t>도시 정기 육상 여객 운송업, 시외버스 운송업, 부정기 육상 여객 운송업</t>
        </is>
      </c>
      <c r="E1128" s="68" t="inlineStr">
        <is>
          <t>시내버스 운송업, 시외버스 운송업, 택시 운송업</t>
        </is>
      </c>
      <c r="F1128" s="68" t="inlineStr">
        <is>
          <t>◦시외버스, 시내버스, 택시의 지입료 수입 및 대여료 수입</t>
        </is>
      </c>
      <c r="G1128" s="90" t="n">
        <v>78.7</v>
      </c>
      <c r="H1128" s="90" t="n">
        <v>0</v>
      </c>
      <c r="I1128" s="90" t="n">
        <v>26.8</v>
      </c>
    </row>
    <row r="1129">
      <c r="A1129" s="65" t="inlineStr">
        <is>
          <t>630702</t>
        </is>
      </c>
      <c r="B1129" s="68" t="inlineStr">
        <is>
          <t>운수 및 창고업</t>
        </is>
      </c>
      <c r="C1129" s="68" t="inlineStr">
        <is>
          <t>육상 운송 및 파이프라인 운송업</t>
        </is>
      </c>
      <c r="D1129" s="68" t="inlineStr">
        <is>
          <t>도로 화물 운송업</t>
        </is>
      </c>
      <c r="E1129" s="68" t="inlineStr">
        <is>
          <t>일반 화물자동차 운송업, 개인 화물자동차 운송업</t>
        </is>
      </c>
      <c r="F1129" s="68" t="inlineStr">
        <is>
          <t>◦지입
&lt;예 시&gt;
·건설기계 지입료 등
·삼륜차 임대</t>
        </is>
      </c>
      <c r="G1129" s="90" t="n">
        <v>80.3</v>
      </c>
      <c r="H1129" s="90" t="n">
        <v>0</v>
      </c>
      <c r="I1129" s="90" t="n">
        <v>28.5</v>
      </c>
    </row>
    <row r="1130">
      <c r="A1130" s="65" t="inlineStr">
        <is>
          <t>630901</t>
        </is>
      </c>
      <c r="B1130" s="68" t="inlineStr">
        <is>
          <t>운수 및 창고업</t>
        </is>
      </c>
      <c r="C1130" s="68" t="inlineStr">
        <is>
          <t>육상 운송 및 파이프라인 운송업</t>
        </is>
      </c>
      <c r="D1130" s="68" t="inlineStr">
        <is>
          <t>소화물 전문 운송업</t>
        </is>
      </c>
      <c r="E1130" s="68" t="inlineStr">
        <is>
          <t>택배업</t>
        </is>
      </c>
      <c r="F1130" s="68" t="inlineStr">
        <is>
          <t>◦대도시 지역이나 도시 간 소화물 택배 서비스를 제공하는 산업활동을 말한다. 이러한 사업체는 택배 물품 수집 및 배달을 포함하는 네트워크 시스템을 형성하며 육상, 수상, 항공 수송 수단이 결합되어 수행될 수 있다.
&lt;예 시&gt;
·택배 서비스
·직영ㆍ위탁 운영하는 우체국 택배 서비스
&lt;제 외&gt;
·팔레트로 운반하는 화물 자동차 운송(해당 산업활동으로 분류)
*국영우편 업무담당기관이 아닌 사업자가 서신송달, 소화물을 수집·운반·배달하는 업(→641201)</t>
        </is>
      </c>
      <c r="G1130" s="90" t="n">
        <v>86.5</v>
      </c>
      <c r="H1130" s="90" t="n">
        <v>0</v>
      </c>
      <c r="I1130" s="90" t="n">
        <v>25.6</v>
      </c>
    </row>
    <row r="1131">
      <c r="A1131" s="65" t="inlineStr">
        <is>
          <t>630902</t>
        </is>
      </c>
      <c r="B1131" s="68" t="inlineStr">
        <is>
          <t>운수 및 창고업</t>
        </is>
      </c>
      <c r="C1131" s="68" t="inlineStr">
        <is>
          <t>창고 및 운송관련 서비스업</t>
        </is>
      </c>
      <c r="D1131" s="68" t="inlineStr">
        <is>
          <t>그 외 기타 운송관련 서비스업</t>
        </is>
      </c>
      <c r="E1131" s="68" t="inlineStr">
        <is>
          <t>통관 대리 및 관련서비스업, 화물 운송 중개, 대리 및 관련 서비스업</t>
        </is>
      </c>
      <c r="F1131" s="68" t="inlineStr">
        <is>
          <t>◦물품 수출◦입 절차와 관련하여 분류 및 세액을 계산하고, 통관 신고 등 절차를 대행하며 관련 서비스를 제공하는 산업활동을 말한다.
·수출·입 통관절차 대행
&lt;제 외&gt;
*관세사(→749906)
◦화물 운송업자와 화주 간에 화물 운송을 주선, 중개, 대리하는 산업활동을 말한다.
·국제 물류 주선업                           ·복합 운송 주선업
·화물 자동차 운송 주선업                    ·도로 화물 운송 주선업
·해운 대리점                                ·항공 운송 대리점
&lt;제 외&gt;
*화물운송주선사업 중 자기의 명의와 계산으로 화물 운송(→602309)</t>
        </is>
      </c>
      <c r="G1131" s="90" t="n">
        <v>84.40000000000001</v>
      </c>
      <c r="H1131" s="90" t="n">
        <v>0</v>
      </c>
      <c r="I1131" s="90" t="n">
        <v>25</v>
      </c>
    </row>
    <row r="1132">
      <c r="A1132" s="65" t="inlineStr">
        <is>
          <t>630903</t>
        </is>
      </c>
      <c r="B1132" s="68" t="inlineStr">
        <is>
          <t>운수 및 창고업</t>
        </is>
      </c>
      <c r="C1132" s="68" t="inlineStr">
        <is>
          <t>창고 및 운송관련 서비스업</t>
        </is>
      </c>
      <c r="D1132" s="68" t="inlineStr">
        <is>
          <t>그 외 기타 운송관련 서비스업</t>
        </is>
      </c>
      <c r="E1132" s="68" t="inlineStr">
        <is>
          <t>화물 포장, 검수 및 계량 서비스업</t>
        </is>
      </c>
      <c r="F1132" s="68" t="inlineStr">
        <is>
          <t>◦운송 물품의 보호를 위하여 운송 화물을 포장하거나 운송 화물을 검수, 계량하는 산업활동을 말한다.
&lt;예 시&gt;
·화물 포장(운송관련)
·화물 계량(운송관련)
·화물 검수(운송관련)
·선적 화물 포장(운송관련)
&lt;제 외&gt;
·일반 상품 포장(749500)
·계량 서비스(749912)
*이사화물운송주선사업(포장이사)(→630905)</t>
        </is>
      </c>
      <c r="G1132" s="90" t="n">
        <v>84.7</v>
      </c>
      <c r="H1132" s="90" t="n">
        <v>0</v>
      </c>
      <c r="I1132" s="90" t="n">
        <v>20.5</v>
      </c>
    </row>
    <row r="1133">
      <c r="A1133" s="65" t="inlineStr">
        <is>
          <t>630904</t>
        </is>
      </c>
      <c r="B1133" s="68" t="inlineStr">
        <is>
          <t>운수 및 창고업</t>
        </is>
      </c>
      <c r="C1133" s="68" t="inlineStr">
        <is>
          <t>육상 운송 및 파이프라인 운송업</t>
        </is>
      </c>
      <c r="D1133" s="68" t="inlineStr">
        <is>
          <t>소화물 전문 운송업</t>
        </is>
      </c>
      <c r="E1133" s="68" t="inlineStr">
        <is>
          <t>늘찬 배달업</t>
        </is>
      </c>
      <c r="F1133" s="68" t="inlineStr">
        <is>
          <t>◦도시 내에서 소화물을 수집 및 배달하는 산업활동을 말한다. 도시 간 택배 네트워크의 일부로서 운영하는 경우는 제외한다.
&lt;예 시&gt;
·지역 내 소화물 배달
·꽃 배달</t>
        </is>
      </c>
      <c r="G1133" s="90" t="n">
        <v>86.5</v>
      </c>
      <c r="H1133" s="90" t="n">
        <v>0</v>
      </c>
      <c r="I1133" s="90" t="n">
        <v>35.4</v>
      </c>
    </row>
    <row r="1134">
      <c r="A1134" s="65" t="inlineStr">
        <is>
          <t>630905</t>
        </is>
      </c>
      <c r="B1134" s="68" t="inlineStr">
        <is>
          <t>운수 및 창고업</t>
        </is>
      </c>
      <c r="C1134" s="68" t="inlineStr">
        <is>
          <t>창고 및 운송관련 서비스업</t>
        </is>
      </c>
      <c r="D1134" s="68" t="inlineStr">
        <is>
          <t>그 외 기타 운송관련 서비스업</t>
        </is>
      </c>
      <c r="E1134" s="68" t="inlineStr">
        <is>
          <t>화물 포장, 검수 및 계량 서비스업</t>
        </is>
      </c>
      <c r="F1134" s="68" t="inlineStr">
        <is>
          <t>◦화물자동차 운수사업법 시행령 제9조에 따른 이사화물운송주선사업(포장이사)</t>
        </is>
      </c>
      <c r="G1134" s="90" t="n">
        <v>85.2</v>
      </c>
      <c r="H1134" s="90" t="n">
        <v>0</v>
      </c>
      <c r="I1134" s="90" t="n">
        <v>22.1</v>
      </c>
    </row>
    <row r="1135">
      <c r="A1135" s="65" t="inlineStr">
        <is>
          <t>630909</t>
        </is>
      </c>
      <c r="B1135" s="68" t="inlineStr">
        <is>
          <t>운수 및 창고업</t>
        </is>
      </c>
      <c r="C1135" s="68" t="inlineStr">
        <is>
          <t>창고 및 운송관련 서비스업</t>
        </is>
      </c>
      <c r="D1135" s="68" t="inlineStr">
        <is>
          <t>그 외 기타 운송관련 서비스업</t>
        </is>
      </c>
      <c r="E1135" s="68" t="inlineStr">
        <is>
          <t>그 외 기타 분류 안된 운송관련 서비스업</t>
        </is>
      </c>
      <c r="F1135" s="68" t="inlineStr">
        <is>
          <t>◦그 외 기타 운송관련 서비스업을 수행하는 산업활동을 말한다.
&lt;예 시&gt;
·동물 운송 관리 서비스
·가축 운송관련 서비스
·임시 가축 사육장 운영(운송관련)
·항공기 임대 및 사용 알선, 중개
·선박 임대 및 사용 알선, 중개
&lt;제 외&gt;
·운송관련 화물 계량 서비스(630903)
·운송관련 화물 검수(630903)</t>
        </is>
      </c>
      <c r="G1135" s="90" t="n">
        <v>82.09999999999999</v>
      </c>
      <c r="H1135" s="90" t="n">
        <v>0</v>
      </c>
      <c r="I1135" s="90" t="n">
        <v>24.7</v>
      </c>
    </row>
    <row r="1136">
      <c r="A1136" s="65" t="inlineStr">
        <is>
          <t>641200</t>
        </is>
      </c>
      <c r="B1136" s="68" t="inlineStr">
        <is>
          <t>정보통신업</t>
        </is>
      </c>
      <c r="C1136" s="68" t="inlineStr">
        <is>
          <t>우편 및 통신업</t>
        </is>
      </c>
      <c r="D1136" s="68" t="inlineStr">
        <is>
          <t>공영 우편업</t>
        </is>
      </c>
      <c r="E1136" s="68" t="inlineStr">
        <is>
          <t>공영 우편업</t>
        </is>
      </c>
      <c r="F1136" s="68" t="inlineStr">
        <is>
          <t>◦국가 또는 공공기관이 우편서비스 제공 의무에 따라 우편함 또는 우체국 창구시설 등을 통해 우편물을 수집 및 분배◦배달하는 활동으로서 우표 판매활동과 우편물 분류 및 처리활동, 사서함 임대, 우편물 유치활동을 포함한다.
&lt;예 시&gt;
·우체국
&lt;제 외&gt;
·우편 서비스 기관에서 수행하는 저축 등 금융 활동(659205)
·사설 우편서비스 제공업(641201)</t>
        </is>
      </c>
      <c r="G1136" s="90" t="n">
        <v>92.5</v>
      </c>
      <c r="H1136" s="90" t="n">
        <v>0</v>
      </c>
      <c r="I1136" s="90" t="n">
        <v>23</v>
      </c>
    </row>
    <row r="1137">
      <c r="A1137" s="65" t="inlineStr">
        <is>
          <t>641201</t>
        </is>
      </c>
      <c r="B1137" s="68" t="inlineStr">
        <is>
          <t>운수 및 창고업</t>
        </is>
      </c>
      <c r="C1137" s="68" t="inlineStr">
        <is>
          <t>육상 운송 및 파이프라인 운송업</t>
        </is>
      </c>
      <c r="D1137" s="68" t="inlineStr">
        <is>
          <t>소화물 전문 운송업</t>
        </is>
      </c>
      <c r="E1137" s="68" t="inlineStr">
        <is>
          <t>택배업</t>
        </is>
      </c>
      <c r="F1137" s="68" t="inlineStr">
        <is>
          <t>◦국영우편 업무담당기관이 아닌 사업자가 서신송달, 소화물을 수집·운반·배달하는 업</t>
        </is>
      </c>
      <c r="G1137" s="90" t="n">
        <v>93.3</v>
      </c>
      <c r="H1137" s="90" t="n">
        <v>0</v>
      </c>
      <c r="I1137" s="90" t="n">
        <v>24.6</v>
      </c>
    </row>
    <row r="1138">
      <c r="A1138" s="65" t="inlineStr">
        <is>
          <t>642001</t>
        </is>
      </c>
      <c r="B1138" s="68" t="inlineStr">
        <is>
          <t>정보통신업</t>
        </is>
      </c>
      <c r="C1138" s="68" t="inlineStr">
        <is>
          <t>우편 및 통신업</t>
        </is>
      </c>
      <c r="D1138" s="68" t="inlineStr">
        <is>
          <t>무선 및 위성 통신업</t>
        </is>
      </c>
      <c r="E1138" s="68" t="inlineStr">
        <is>
          <t>무선 및 위성 통신업</t>
        </is>
      </c>
      <c r="F1138" s="68" t="inlineStr">
        <is>
          <t>◦무선 통신시설을 이용하여 음성, 데이터, 문자, 음향, 영상 및 기타 정보를 송◦수신하는 산업활동을 말한다. 위성 통신시설을 이용하는 통신업도 포함한다.
&lt;예 시&gt;
·무선 전화 서비스
·무선 호출 서비스
·무선 인터넷 서비스
·주파수 공용통신(TRS) 사업
·위성 전화 서비스
·위성 인터넷 서비스
&lt;제 외&gt;
·인공위성 시스템을 이용한 텔레비전 방송활동(921305)</t>
        </is>
      </c>
      <c r="G1138" s="90" t="n">
        <v>81.2</v>
      </c>
      <c r="H1138" s="90" t="n">
        <v>0</v>
      </c>
      <c r="I1138" s="90" t="n">
        <v>19.6</v>
      </c>
    </row>
    <row r="1139">
      <c r="A1139" s="65" t="inlineStr">
        <is>
          <t>642002</t>
        </is>
      </c>
      <c r="B1139" s="68" t="inlineStr">
        <is>
          <t>정보통신업</t>
        </is>
      </c>
      <c r="C1139" s="68" t="inlineStr">
        <is>
          <t>우편 및 통신업</t>
        </is>
      </c>
      <c r="D1139" s="68" t="inlineStr">
        <is>
          <t>기타 전기 통신업</t>
        </is>
      </c>
      <c r="E1139" s="68" t="inlineStr">
        <is>
          <t>통신 재판매업</t>
        </is>
      </c>
      <c r="F1139" s="68" t="inlineStr">
        <is>
          <t>◦기간통신 사업자로부터 전기 통신 회선설비를 임차하여 기업 및 가정을 대상으로 전화사업(회선 재판매 포함)을 하는 산업활동을 말한다. 이 사업체는 통신망을 운영◦관리하지 않는다.
&lt;예 시&gt;
·무선 통신 재판매
·유선 통신 재판매
·별정 통신 서비스(음성 재판매, 국제전화 콜백 서비스 등)
·유선 인터넷 재판매</t>
        </is>
      </c>
      <c r="G1139" s="90" t="n">
        <v>83.90000000000001</v>
      </c>
      <c r="H1139" s="90" t="n">
        <v>0</v>
      </c>
      <c r="I1139" s="90" t="n">
        <v>21.7</v>
      </c>
    </row>
    <row r="1140">
      <c r="A1140" s="65" t="inlineStr">
        <is>
          <t>642003</t>
        </is>
      </c>
      <c r="B1140" s="68" t="inlineStr">
        <is>
          <t>정보통신업</t>
        </is>
      </c>
      <c r="C1140" s="68" t="inlineStr">
        <is>
          <t>우편 및 통신업</t>
        </is>
      </c>
      <c r="D1140" s="68" t="inlineStr">
        <is>
          <t>기타 전기 통신업</t>
        </is>
      </c>
      <c r="E1140" s="68" t="inlineStr">
        <is>
          <t>그 외 기타 전기 통신업</t>
        </is>
      </c>
      <c r="F1140" s="68" t="inlineStr">
        <is>
          <t>◦그 외 기타 전기 통신업을 수행하는 산업활동을 말한다.
&lt;예 시&gt;
·레이더 서비스
·방송 전송 서비스
·미사일 유도 서비스
·통신 위성 지구국 운영
·통신 중계 서비스
·통신 위성 운영</t>
        </is>
      </c>
      <c r="G1140" s="90" t="n">
        <v>79.90000000000001</v>
      </c>
      <c r="H1140" s="90" t="n">
        <v>0</v>
      </c>
      <c r="I1140" s="90" t="n">
        <v>21.1</v>
      </c>
    </row>
    <row r="1141">
      <c r="A1141" s="65" t="inlineStr">
        <is>
          <t>642004</t>
        </is>
      </c>
      <c r="B1141" s="68" t="inlineStr">
        <is>
          <t>정보통신업</t>
        </is>
      </c>
      <c r="C1141" s="68" t="inlineStr">
        <is>
          <t>정보서비스업</t>
        </is>
      </c>
      <c r="D1141" s="68" t="inlineStr">
        <is>
          <t>포털 및 기타 인터넷 정보 매개 서비스업</t>
        </is>
      </c>
      <c r="E1141" s="68" t="inlineStr">
        <is>
          <t>포털 및 기타 인터넷 정보 매개 서비스업</t>
        </is>
      </c>
      <c r="F1141" s="68" t="inlineStr">
        <is>
          <t>◦인터넷에서 검색, 커뮤니티, 전자메일, 블로그 등의 서비스를 통해 금융, 생활 정보, 뉴스, 이용자 제작 콘텐츠 및 디지털화된 다양한 정보를 매개하는 산업활동을 말한다.
&lt;예 시&gt;
·포털 서비스
·인터넷 정보 매개 서비스
&lt;제 외&gt;
·데이터베이스를 직접 구축하여 정보를 판매하는 서비스(724000)
·전자상거래 방법에 의한 상품 소매(525101)
·온라인상의 증권 중개 서비스(671202)
·온라인상의 부동산 중개 서비스(702001)
·온라인상의 인력 알선 서비스(749100)</t>
        </is>
      </c>
      <c r="G1141" s="90" t="n">
        <v>77.90000000000001</v>
      </c>
      <c r="H1141" s="90" t="n">
        <v>0</v>
      </c>
      <c r="I1141" s="90" t="n">
        <v>19</v>
      </c>
    </row>
    <row r="1142">
      <c r="A1142" s="65" t="inlineStr">
        <is>
          <t>642005</t>
        </is>
      </c>
      <c r="B1142" s="68" t="inlineStr">
        <is>
          <t>정보통신업</t>
        </is>
      </c>
      <c r="C1142" s="68" t="inlineStr">
        <is>
          <t>우편 및 통신업</t>
        </is>
      </c>
      <c r="D1142" s="68" t="inlineStr">
        <is>
          <t>유선 통신업</t>
        </is>
      </c>
      <c r="E1142" s="68" t="inlineStr">
        <is>
          <t>유선 통신업</t>
        </is>
      </c>
      <c r="F1142" s="68" t="inlineStr">
        <is>
          <t>◦유선 통신시설을 이용하여 음성, 데이터, 문자, 음향, 영상 및 기타 정보를 송◦수신하는 산업활동을 말한다. 여기에는 유선 통신 회선설비를 임대하는 산업활동을 포함한다.
&lt;예 시&gt;
·유선 전화 서비스
·유선 전신 및 전보 서비스
·유선 인터넷 서비스
·유선 통신 회선설비 임대
&lt;제 외&gt;
·임차한 통신 회선설비를 이용한 전화사업(642002)</t>
        </is>
      </c>
      <c r="G1142" s="90" t="n">
        <v>81.2</v>
      </c>
      <c r="H1142" s="90" t="n">
        <v>0</v>
      </c>
      <c r="I1142" s="90" t="n">
        <v>19.6</v>
      </c>
    </row>
    <row r="1143">
      <c r="A1143" s="65" t="inlineStr">
        <is>
          <t>659201</t>
        </is>
      </c>
      <c r="B1143" s="68" t="inlineStr">
        <is>
          <t>금융 및 보험업</t>
        </is>
      </c>
      <c r="C1143" s="68" t="inlineStr">
        <is>
          <t>금융업</t>
        </is>
      </c>
      <c r="D1143" s="68" t="inlineStr">
        <is>
          <t>일반은행</t>
        </is>
      </c>
      <c r="E1143" s="68" t="inlineStr">
        <is>
          <t>국내은행</t>
        </is>
      </c>
      <c r="F1143" s="68" t="inlineStr">
        <is>
          <t>◦일반 대중 및 기업을 대상으로 여◦수신 활동을 수행하는 시중은행 및 지방은행을 말하며, 금융 업무를 수행하는 농협◦축협◦수협의 중앙회를 포함한다.
&lt;예 시&gt;
·시중은행
·지방은행
·농협중앙회
·수협중앙회
·축협중앙회
&lt;제 외&gt;
·농협·축협·수협의 단위 조합(659202)</t>
        </is>
      </c>
      <c r="G1143" s="90" t="n">
        <v>71.7</v>
      </c>
      <c r="H1143" s="90" t="n">
        <v>0</v>
      </c>
      <c r="I1143" s="90" t="n">
        <v>17.6</v>
      </c>
    </row>
    <row r="1144">
      <c r="A1144" s="65" t="inlineStr">
        <is>
          <t>659202</t>
        </is>
      </c>
      <c r="B1144" s="68" t="inlineStr">
        <is>
          <t>금융 및 보험업</t>
        </is>
      </c>
      <c r="C1144" s="68" t="inlineStr">
        <is>
          <t>금융업</t>
        </is>
      </c>
      <c r="D1144" s="68" t="inlineStr">
        <is>
          <t>신용조합 및 저축기관</t>
        </is>
      </c>
      <c r="E1144" s="68" t="inlineStr">
        <is>
          <t>신용조합</t>
        </is>
      </c>
      <c r="F1144" s="68" t="inlineStr">
        <is>
          <t>◦고객으로부터 상호 부금 형태로 조성된 자금을 고객에게 대출하는 은행 이외의 여◦수신 기관을 말한다.
&lt;예 시&gt;
·신용협동조합
·새마을금고
·농협, 축협, 수협의 단위조합
·산림조합</t>
        </is>
      </c>
      <c r="G1144" s="90" t="n">
        <v>83.5</v>
      </c>
      <c r="H1144" s="90" t="n">
        <v>0</v>
      </c>
      <c r="I1144" s="90" t="n">
        <v>18</v>
      </c>
    </row>
    <row r="1145">
      <c r="A1145" s="65" t="inlineStr">
        <is>
          <t>659203</t>
        </is>
      </c>
      <c r="B1145" s="68" t="inlineStr">
        <is>
          <t>금융 및 보험업</t>
        </is>
      </c>
      <c r="C1145" s="68" t="inlineStr">
        <is>
          <t>금융업</t>
        </is>
      </c>
      <c r="D1145" s="68" t="inlineStr">
        <is>
          <t>여신 금융업</t>
        </is>
      </c>
      <c r="E1145" s="68" t="inlineStr">
        <is>
          <t>그 외 기타 여신 금융업</t>
        </is>
      </c>
      <c r="F1145" s="68" t="inlineStr">
        <is>
          <t>◦금융회사 이외의 자가 영위하는 대금업
&lt;예 시&gt;
·사채(사설금융)</t>
        </is>
      </c>
      <c r="G1145" s="90" t="n">
        <v>25.7</v>
      </c>
      <c r="H1145" s="90" t="n">
        <v>0</v>
      </c>
      <c r="I1145" s="90" t="n">
        <v>16.2</v>
      </c>
    </row>
    <row r="1146">
      <c r="A1146" s="65" t="inlineStr">
        <is>
          <t>659204</t>
        </is>
      </c>
      <c r="B1146" s="68" t="inlineStr">
        <is>
          <t>금융 및 보험업</t>
        </is>
      </c>
      <c r="C1146" s="68" t="inlineStr">
        <is>
          <t>금융업</t>
        </is>
      </c>
      <c r="D1146" s="68" t="inlineStr">
        <is>
          <t>여신 금융업</t>
        </is>
      </c>
      <c r="E1146" s="68" t="inlineStr">
        <is>
          <t>그 외 기타 여신 금융업</t>
        </is>
      </c>
      <c r="F1146" s="68" t="inlineStr">
        <is>
          <t>◦전당포업</t>
        </is>
      </c>
      <c r="G1146" s="90" t="n">
        <v>40.9</v>
      </c>
      <c r="H1146" s="90" t="n">
        <v>0</v>
      </c>
      <c r="I1146" s="90" t="n">
        <v>32.8</v>
      </c>
    </row>
    <row r="1147">
      <c r="A1147" s="65" t="inlineStr">
        <is>
          <t>659205</t>
        </is>
      </c>
      <c r="B1147" s="68" t="inlineStr">
        <is>
          <t>금융 및 보험업</t>
        </is>
      </c>
      <c r="C1147" s="68" t="inlineStr">
        <is>
          <t>금융업</t>
        </is>
      </c>
      <c r="D1147" s="68" t="inlineStr">
        <is>
          <t>신용조합 및 저축기관</t>
        </is>
      </c>
      <c r="E1147" s="68" t="inlineStr">
        <is>
          <t>상호 저축은행 및 기타 저축기관</t>
        </is>
      </c>
      <c r="F1147" s="68" t="inlineStr">
        <is>
          <t>◦일반 고객으로부터 예금 등을 받아 조성된 자금을 고객에게 대출하는 일반은행 이외의 저축기관을 말한다.
&lt;예 시&gt;
·상호 저축은행
·상호 신용금고
·우체국 예금</t>
        </is>
      </c>
      <c r="G1147" s="90" t="n">
        <v>71.7</v>
      </c>
      <c r="H1147" s="90" t="n">
        <v>0</v>
      </c>
      <c r="I1147" s="90" t="n">
        <v>21.8</v>
      </c>
    </row>
    <row r="1148">
      <c r="A1148" s="65" t="inlineStr">
        <is>
          <t>659206</t>
        </is>
      </c>
      <c r="B1148" s="68" t="inlineStr">
        <is>
          <t>금융 및 보험업</t>
        </is>
      </c>
      <c r="C1148" s="68" t="inlineStr">
        <is>
          <t>금융업</t>
        </is>
      </c>
      <c r="D1148" s="68" t="inlineStr">
        <is>
          <t>여신 금융업</t>
        </is>
      </c>
      <c r="E1148" s="68" t="inlineStr">
        <is>
          <t>신용카드 및 할부 금융업</t>
        </is>
      </c>
      <c r="F1148" s="68" t="inlineStr">
        <is>
          <t>◦신용카드를 발행하고, 그 신용카드 사용에 관련된 자금을 대여하거나 물품 등의 거래(매매)에 필요한 자금을 할부로 분할 대여 또는 분할상환 형태로 회수하는 산업활동을 말한다.
&lt;예 시&gt;
·신용카드 금융
·소비자 할부 금융업
·캐피탈사</t>
        </is>
      </c>
      <c r="G1148" s="90" t="n">
        <v>78.5</v>
      </c>
      <c r="H1148" s="90" t="n">
        <v>0</v>
      </c>
      <c r="I1148" s="90" t="n">
        <v>17.4</v>
      </c>
    </row>
    <row r="1149">
      <c r="A1149" s="65" t="inlineStr">
        <is>
          <t>659207</t>
        </is>
      </c>
      <c r="B1149" s="68" t="inlineStr">
        <is>
          <t>금융 및 보험업</t>
        </is>
      </c>
      <c r="C1149" s="68" t="inlineStr">
        <is>
          <t>금융업</t>
        </is>
      </c>
      <c r="D1149" s="68" t="inlineStr">
        <is>
          <t>일반은행</t>
        </is>
      </c>
      <c r="E1149" s="68" t="inlineStr">
        <is>
          <t>외국은행</t>
        </is>
      </c>
      <c r="F1149" s="68" t="inlineStr">
        <is>
          <t>◦외국은행의 국내 지점 또는 대리점과 국제기구 은행의 산업활동을 말한다.
&lt;예 시&gt;
·외국은행 지점
·국제기구 은행 지점</t>
        </is>
      </c>
      <c r="G1149" s="90" t="n">
        <v>71.7</v>
      </c>
      <c r="H1149" s="90" t="n">
        <v>0</v>
      </c>
      <c r="I1149" s="90" t="n">
        <v>17.6</v>
      </c>
    </row>
    <row r="1150">
      <c r="A1150" s="65" t="inlineStr">
        <is>
          <t>659208</t>
        </is>
      </c>
      <c r="B1150" s="68" t="inlineStr">
        <is>
          <t>금융 및 보험업</t>
        </is>
      </c>
      <c r="C1150" s="68" t="inlineStr">
        <is>
          <t>금융업</t>
        </is>
      </c>
      <c r="D1150" s="68" t="inlineStr">
        <is>
          <t>여신 금융업</t>
        </is>
      </c>
      <c r="E1150" s="68" t="inlineStr">
        <is>
          <t>금융 리스업</t>
        </is>
      </c>
      <c r="F1150" s="68" t="inlineStr">
        <is>
          <t>◦대체적으로 자산의 내용 연수 만기에 가까운 기간을 그 자산의 대여 기간으로 정하여 설비에 대한 금융을 제공하는 활동으로서, 임차인은 그 자산의 이용과 소유권에 관련된 손익과 위험에 관련된 모든 것을 책임지며, 만기 시에 그 자산의 양도 여부는 별도로 정할 수 있다.
&lt;예 시&gt;
·금융 리스
&lt;제 외&gt;
·운용 리스(임대되는 상품의 종류에 따라 적합한 항목에 각각 분류)</t>
        </is>
      </c>
      <c r="G1150" s="90" t="n">
        <v>78.5</v>
      </c>
      <c r="H1150" s="90" t="n">
        <v>0</v>
      </c>
      <c r="I1150" s="90" t="n">
        <v>17.4</v>
      </c>
    </row>
    <row r="1151">
      <c r="A1151" s="65" t="inlineStr">
        <is>
          <t>659209</t>
        </is>
      </c>
      <c r="B1151" s="68" t="inlineStr">
        <is>
          <t>금융 및 보험업</t>
        </is>
      </c>
      <c r="C1151" s="68" t="inlineStr">
        <is>
          <t>금융업</t>
        </is>
      </c>
      <c r="D1151" s="68" t="inlineStr">
        <is>
          <t>여신 금융업</t>
        </is>
      </c>
      <c r="E1151" s="68" t="inlineStr">
        <is>
          <t>개발 금융기관</t>
        </is>
      </c>
      <c r="F1151" s="68" t="inlineStr">
        <is>
          <t>◦대부분의 운영 자금을 중앙은행, 정부 또는 해외로부터 차입이나 채권 발행 등을 통하여 조달하고, 장기 거액 자금이 소요되는 특정 부문을 대상으로 금융 리스 이외의 방법으로 장기 사업 자금의 대출 업무를 수행하는 신용기관을 말한다.
&lt;예 시&gt;
·수출입은행
&lt;제 외&gt;
·금융 리스(659208)
·운용 리스(임대되는 상품의 종류에 따라 적합한 항목에 각각 분류)</t>
        </is>
      </c>
      <c r="G1151" s="90" t="n">
        <v>78.5</v>
      </c>
      <c r="H1151" s="90" t="n">
        <v>0</v>
      </c>
      <c r="I1151" s="90" t="n">
        <v>17.4</v>
      </c>
    </row>
    <row r="1152">
      <c r="A1152" s="65" t="inlineStr">
        <is>
          <t>659900</t>
        </is>
      </c>
      <c r="B1152" s="68" t="inlineStr">
        <is>
          <t>금융 및 보험업</t>
        </is>
      </c>
      <c r="C1152" s="68" t="inlineStr">
        <is>
          <t>금융업</t>
        </is>
      </c>
      <c r="D1152" s="68" t="inlineStr">
        <is>
          <t>신탁업 및 집합 투자업</t>
        </is>
      </c>
      <c r="E1152" s="68" t="inlineStr">
        <is>
          <t>기타 금융 투자업</t>
        </is>
      </c>
      <c r="F1152" s="68" t="inlineStr">
        <is>
          <t>◦자기계정으로 금융 투자 상품 매도ㆍ매수, 증권 발행ㆍ인수 또는 그 청약 권유, 청약 및 청약 승낙 등을 영업으로 하는 투자 매매업과 벤처 캐피탈 등 기타 금융 투자활동을 말한다.
&lt;예 시&gt;
·투자 매매업
·벤처 캐피탈(신기술 사업금융업, 창업 투자회사 등)
&lt;제 외&gt;
·부동산 투자신탁(703011,703012,703021~703024)
·선박 임대 투자회사(712200)
·일반영화 투자회사(921502)
·금융 투자 일임업(671903)</t>
        </is>
      </c>
      <c r="G1152" s="90" t="n">
        <v>77.59999999999999</v>
      </c>
      <c r="H1152" s="90" t="n">
        <v>0</v>
      </c>
      <c r="I1152" s="90" t="n">
        <v>17.4</v>
      </c>
    </row>
    <row r="1153">
      <c r="A1153" s="65" t="inlineStr">
        <is>
          <t>659901</t>
        </is>
      </c>
      <c r="B1153" s="68" t="inlineStr">
        <is>
          <t>사업시설 관리, 사업지원 및 임대 서비스업</t>
        </is>
      </c>
      <c r="C1153" s="68" t="inlineStr">
        <is>
          <t>사업지원 서비스업</t>
        </is>
      </c>
      <c r="D1153" s="68" t="inlineStr">
        <is>
          <t>그 외 기타 사업 지원 서비스업</t>
        </is>
      </c>
      <c r="E1153" s="68" t="inlineStr">
        <is>
          <t>온라인 활용 마케팅 및 관련 사업지원 서비스업, 그 외 기타 분류 안된 사업 지원 서비스업</t>
        </is>
      </c>
      <c r="F1153" s="68" t="inlineStr">
        <is>
          <t>◦상품권 매매업</t>
        </is>
      </c>
      <c r="G1153" s="90" t="n">
        <v>70.3</v>
      </c>
      <c r="H1153" s="90" t="n">
        <v>0</v>
      </c>
      <c r="I1153" s="90" t="n">
        <v>11.5</v>
      </c>
    </row>
    <row r="1154">
      <c r="A1154" s="65" t="inlineStr">
        <is>
          <t>659902</t>
        </is>
      </c>
      <c r="B1154" s="68" t="inlineStr">
        <is>
          <t>금융 및 보험업</t>
        </is>
      </c>
      <c r="C1154" s="68" t="inlineStr">
        <is>
          <t>금융업</t>
        </is>
      </c>
      <c r="D1154" s="68" t="inlineStr">
        <is>
          <t>그 외 기타 금융업</t>
        </is>
      </c>
      <c r="E1154" s="68" t="inlineStr">
        <is>
          <t>그 외 기타 분류 안된 금융업</t>
        </is>
      </c>
      <c r="F1154" s="68" t="inlineStr">
        <is>
          <t>◦그 외 기타 금융활동을 수행하는 산업활동을 말한다.
&lt;예 시&gt;
·선불카드 발행업
&lt;제 외&gt;
·선불카드 결제 대행 서비스(671900)</t>
        </is>
      </c>
      <c r="G1154" s="90" t="n">
        <v>83.40000000000001</v>
      </c>
      <c r="H1154" s="90" t="n">
        <v>0</v>
      </c>
      <c r="I1154" s="90" t="n">
        <v>12.2</v>
      </c>
    </row>
    <row r="1155">
      <c r="A1155" s="65" t="inlineStr">
        <is>
          <t>659903</t>
        </is>
      </c>
      <c r="B1155" s="68" t="inlineStr">
        <is>
          <t>금융 및 보험업</t>
        </is>
      </c>
      <c r="C1155" s="68" t="inlineStr">
        <is>
          <t>금융업</t>
        </is>
      </c>
      <c r="D1155" s="68" t="inlineStr">
        <is>
          <t>신탁업 및 집합 투자업</t>
        </is>
      </c>
      <c r="E1155" s="68" t="inlineStr">
        <is>
          <t>신탁업 및 집합 투자업</t>
        </is>
      </c>
      <c r="F1155" s="68" t="inlineStr">
        <is>
          <t>◦증권 발행, 신탁 및 기타 출자(채권, 어음 및 기타 금융자산 출자 등)방법을 통해 투자자로부터 모집한 자금을 자기계정으로 증권에 투자하여 수익을 투자자에게 배분하는 산업활동을 말한다.
&lt;예 시&gt;
·자산 운용회사
·뮤츄얼 펀드 조성 및 관리
&lt;제 외&gt;
·수수료 또는 계약에 의한 유가증권 관리 및 보관(671902)
·모집 자금을 비금융자산에 투자하는 경우 해당 산업의 특성에 따라 분류
·금융 투자 일임업(671903)</t>
        </is>
      </c>
      <c r="G1155" s="90" t="n">
        <v>77.59999999999999</v>
      </c>
      <c r="H1155" s="90" t="n">
        <v>0</v>
      </c>
      <c r="I1155" s="90" t="n">
        <v>17.4</v>
      </c>
    </row>
    <row r="1156">
      <c r="A1156" s="65" t="inlineStr">
        <is>
          <t>659904</t>
        </is>
      </c>
      <c r="B1156" s="68" t="inlineStr">
        <is>
          <t>금융 및 보험업</t>
        </is>
      </c>
      <c r="C1156" s="68" t="inlineStr">
        <is>
          <t>금융업</t>
        </is>
      </c>
      <c r="D1156" s="68" t="inlineStr">
        <is>
          <t>여신 금융업</t>
        </is>
      </c>
      <c r="E1156" s="68" t="inlineStr">
        <is>
          <t>그 외 기타 여신 금융업</t>
        </is>
      </c>
      <c r="F1156" s="68" t="inlineStr">
        <is>
          <t>◦은행, 개발 금융회사, 신용카드 및 할부 금융기관을 제외한 기타 자금대부에 관련되는 금융활동을 수행하는 여신 전문 금융기관을 말한다. 재할인 금융업무 등도 포함한다.
&lt;예 시&gt;
·재할인 개인 대출회사(비은행)
·증권 금융회사
·파이낸스(여신기관)
·종합 금융회사
·매출 채권 등 팩토링(factoring) 금융
&lt;제 외&gt;
*금융회사 이외의 자가 영위하는 대금업(→659203)
*전당포업(→659204)</t>
        </is>
      </c>
      <c r="G1156" s="90" t="n">
        <v>79.3</v>
      </c>
      <c r="H1156" s="90" t="n">
        <v>0</v>
      </c>
      <c r="I1156" s="90" t="n">
        <v>17.4</v>
      </c>
    </row>
    <row r="1157">
      <c r="A1157" s="65" t="inlineStr">
        <is>
          <t>659905</t>
        </is>
      </c>
      <c r="B1157" s="68" t="inlineStr">
        <is>
          <t>금융 및 보험업</t>
        </is>
      </c>
      <c r="C1157" s="68" t="inlineStr">
        <is>
          <t>금융업</t>
        </is>
      </c>
      <c r="D1157" s="68" t="inlineStr">
        <is>
          <t>그 외 기타 금융업</t>
        </is>
      </c>
      <c r="E1157" s="68" t="inlineStr">
        <is>
          <t>기금 운영업</t>
        </is>
      </c>
      <c r="F1157" s="68" t="inlineStr">
        <is>
          <t>◦정부가 산업의 발전 및 안정 등 각종 목적으로 조성한 공공 기금(연금 및 보험 기금 제외)을 관리, 운용하는 산업활동을 말한다.
&lt;예 시&gt;
·주택도시기금
·금융안정기금 
·공공 기금 관리(연금, 보험 제외)
&lt;제 외&gt;
·일반 대중의 신탁 자금 관리 운영(659903)
·신용보증기금 운영(660304)
·연금 기금 관리 운영(660309)</t>
        </is>
      </c>
      <c r="G1157" s="90" t="n">
        <v>79.3</v>
      </c>
      <c r="H1157" s="90" t="n">
        <v>0</v>
      </c>
      <c r="I1157" s="90" t="n">
        <v>17.4</v>
      </c>
    </row>
    <row r="1158">
      <c r="A1158" s="65" t="inlineStr">
        <is>
          <t>659906</t>
        </is>
      </c>
      <c r="B1158" s="68" t="inlineStr">
        <is>
          <t>금융 및 보험업</t>
        </is>
      </c>
      <c r="C1158" s="68" t="inlineStr">
        <is>
          <t>금융업</t>
        </is>
      </c>
      <c r="D1158" s="68" t="inlineStr">
        <is>
          <t>그 외 기타 금융업</t>
        </is>
      </c>
      <c r="E1158" s="68" t="inlineStr">
        <is>
          <t>지주회사</t>
        </is>
      </c>
      <c r="F1158" s="68" t="inlineStr">
        <is>
          <t>◦다른 기업체의 지배적 지분을 소유하거나 회사의 경영 전략에 영향력을 행사할 목적으로 주식을 확보◦유지하는 산업활동을 말한다. 그러나 지주회사는 소속 회사의 운영 및 관리 등에 관한 직접적인 경영활동에는 관여하지 않는다.
&lt;예 시&gt;
·금융 지주회사
·비금융 지주회사</t>
        </is>
      </c>
      <c r="G1158" s="90" t="n">
        <v>79.3</v>
      </c>
      <c r="H1158" s="90" t="n">
        <v>0</v>
      </c>
      <c r="I1158" s="90" t="n">
        <v>17.4</v>
      </c>
    </row>
    <row r="1159">
      <c r="A1159" s="65" t="inlineStr">
        <is>
          <t>660100</t>
        </is>
      </c>
      <c r="B1159" s="68" t="inlineStr">
        <is>
          <t>금융 및 보험업</t>
        </is>
      </c>
      <c r="C1159" s="68" t="inlineStr">
        <is>
          <t>보험업</t>
        </is>
      </c>
      <c r="D1159" s="68" t="inlineStr">
        <is>
          <t>생명보험업</t>
        </is>
      </c>
      <c r="E1159" s="68" t="inlineStr">
        <is>
          <t>생명보험업</t>
        </is>
      </c>
      <c r="F1159" s="68" t="inlineStr">
        <is>
          <t>◦생명보험을 운영하는 산업활동을 말한다. 기금의 모금 및 이의 투자활동이 포함될 수 있다.
&lt;예 시&gt;
·생명보험
·연금보험
·상해보험
&lt;제 외&gt;
·손해보험(660301~660303)
·생명 재보험(660101)</t>
        </is>
      </c>
      <c r="G1159" s="90" t="n">
        <v>96.5</v>
      </c>
      <c r="H1159" s="90" t="n">
        <v>0</v>
      </c>
      <c r="I1159" s="90" t="n">
        <v>24.4</v>
      </c>
    </row>
    <row r="1160">
      <c r="A1160" s="65" t="inlineStr">
        <is>
          <t>660101</t>
        </is>
      </c>
      <c r="B1160" s="68" t="inlineStr">
        <is>
          <t>금융 및 보험업</t>
        </is>
      </c>
      <c r="C1160" s="68" t="inlineStr">
        <is>
          <t>보험업</t>
        </is>
      </c>
      <c r="D1160" s="68" t="inlineStr">
        <is>
          <t>재보험업</t>
        </is>
      </c>
      <c r="E1160" s="68" t="inlineStr">
        <is>
          <t>재보험업</t>
        </is>
      </c>
      <c r="F1160" s="68" t="inlineStr">
        <is>
          <t>◦생명 또는 비생명 보험회사의 위험을 일부 또는 전부 인수하여 보험업무를 수행하는 제2차 보험업자의 산업활동을 말한다.
&lt;예 시&gt;
·손해보험 재보험
·보증보험 재보험
·생명보험 재보험
·화재보험 재보험</t>
        </is>
      </c>
      <c r="G1160" s="90" t="n">
        <v>96.5</v>
      </c>
      <c r="H1160" s="90" t="n">
        <v>0</v>
      </c>
      <c r="I1160" s="90" t="n">
        <v>28.6</v>
      </c>
    </row>
    <row r="1161">
      <c r="A1161" s="65" t="inlineStr">
        <is>
          <t>660301</t>
        </is>
      </c>
      <c r="B1161" s="68" t="inlineStr">
        <is>
          <t>금융 및 보험업</t>
        </is>
      </c>
      <c r="C1161" s="68" t="inlineStr">
        <is>
          <t>보험업</t>
        </is>
      </c>
      <c r="D1161" s="68" t="inlineStr">
        <is>
          <t>손해 및 보증보험업</t>
        </is>
      </c>
      <c r="E1161" s="68" t="inlineStr">
        <is>
          <t>손해보험업</t>
        </is>
      </c>
      <c r="F1161" s="68" t="inlineStr">
        <is>
          <t>◦해상 및 자동차 사고로 발생하는 여객, 화물의 손해에 대한 보험업무를 주로 수행하는 산업활동을 말한다.
&lt;예 시&gt;
·자동차보험
·해상보험(적하ㆍ선박ㆍ운송보험 등)
&lt;제 외&gt;
*화재로 인한 손해에 대한 보험(→660302)
*달리 분류되지 않은 기타손해보험(→660303)</t>
        </is>
      </c>
      <c r="G1161" s="90" t="n">
        <v>88.09999999999999</v>
      </c>
      <c r="H1161" s="90" t="n">
        <v>0</v>
      </c>
      <c r="I1161" s="90" t="n">
        <v>31.7</v>
      </c>
    </row>
    <row r="1162">
      <c r="A1162" s="65" t="inlineStr">
        <is>
          <t>660302</t>
        </is>
      </c>
      <c r="B1162" s="68" t="inlineStr">
        <is>
          <t>금융 및 보험업</t>
        </is>
      </c>
      <c r="C1162" s="68" t="inlineStr">
        <is>
          <t>보험업</t>
        </is>
      </c>
      <c r="D1162" s="68" t="inlineStr">
        <is>
          <t>손해 및 보증보험업</t>
        </is>
      </c>
      <c r="E1162" s="68" t="inlineStr">
        <is>
          <t>손해보험업</t>
        </is>
      </c>
      <c r="F1162" s="68" t="inlineStr">
        <is>
          <t>◦화재로 인한 손해에 대한 보험업무를 주로 수행하는 산업활동을 말한다.
&lt;예 시&gt;
·화재보험
&lt;제 외&gt;
*자동차 및 해상보험(→660301)
*달리 분류되지 않은 기타손해보험(→660303)</t>
        </is>
      </c>
      <c r="G1162" s="90" t="n">
        <v>72.8</v>
      </c>
      <c r="H1162" s="90" t="n">
        <v>0</v>
      </c>
      <c r="I1162" s="90" t="n">
        <v>26.3</v>
      </c>
    </row>
    <row r="1163">
      <c r="A1163" s="65" t="inlineStr">
        <is>
          <t>660303</t>
        </is>
      </c>
      <c r="B1163" s="68" t="inlineStr">
        <is>
          <t>금융 및 보험업</t>
        </is>
      </c>
      <c r="C1163" s="68" t="inlineStr">
        <is>
          <t>보험업</t>
        </is>
      </c>
      <c r="D1163" s="68" t="inlineStr">
        <is>
          <t>손해 및 보증보험업</t>
        </is>
      </c>
      <c r="E1163" s="68" t="inlineStr">
        <is>
          <t>손해보험업</t>
        </is>
      </c>
      <c r="F1163" s="68" t="inlineStr">
        <is>
          <t>◦자동차보험, 해상보험, 화재보험을 제외한 각종 보험 사고로 발생하는 재산 손해에 대한 보험업무를 주로 수행하는 산업활동을 말한다. 
&lt;예 시&gt;
·화물보험
·재물보험
·도난보험
·재산종합보험
·여행자보험
&lt;제 외&gt;
·생명보험(660100)
·생명재보험(660101)
·보증보험 및 책임보험(660304)
*자동차 및 해상보험(→660301)
*화재로 인한 손해에 대한 보험(→660302)</t>
        </is>
      </c>
      <c r="G1163" s="90" t="n">
        <v>70.59999999999999</v>
      </c>
      <c r="H1163" s="90" t="n">
        <v>0</v>
      </c>
      <c r="I1163" s="90" t="n">
        <v>26.3</v>
      </c>
    </row>
    <row r="1164">
      <c r="A1164" s="65" t="inlineStr">
        <is>
          <t>660304</t>
        </is>
      </c>
      <c r="B1164" s="68" t="inlineStr">
        <is>
          <t>금융 및 보험업</t>
        </is>
      </c>
      <c r="C1164" s="68" t="inlineStr">
        <is>
          <t>보험업</t>
        </is>
      </c>
      <c r="D1164" s="68" t="inlineStr">
        <is>
          <t>손해 및 보증보험업</t>
        </is>
      </c>
      <c r="E1164" s="68" t="inlineStr">
        <is>
          <t>보증보험업</t>
        </is>
      </c>
      <c r="F1164" s="68" t="inlineStr">
        <is>
          <t>◦개인 및 사업체의 신용 보증보험, 부동산 및 물품 보증보험, 재산권 및 기타 권리 보증보험, 책임 보증보험 등을 수행하는 산업활동을 말한다.
&lt;예 시&gt;
·재정 보증보험
·수출 보증보험
·기술 신용보증
·신용 보증(개인 또는 사업체)
·주택 보증보험
·책임보험</t>
        </is>
      </c>
      <c r="G1164" s="90" t="n">
        <v>70.59999999999999</v>
      </c>
      <c r="H1164" s="90" t="n">
        <v>0</v>
      </c>
      <c r="I1164" s="90" t="n">
        <v>26.3</v>
      </c>
    </row>
    <row r="1165">
      <c r="A1165" s="65" t="inlineStr">
        <is>
          <t>660305</t>
        </is>
      </c>
      <c r="B1165" s="68" t="inlineStr">
        <is>
          <t>공공 행정, 국방 및 사회보장 행정</t>
        </is>
      </c>
      <c r="C1165" s="68" t="inlineStr">
        <is>
          <t>공공 행정, 국방 및 사회보장 행정</t>
        </is>
      </c>
      <c r="D1165" s="68" t="inlineStr">
        <is>
          <t>사회보장보험업</t>
        </is>
      </c>
      <c r="E1165" s="68" t="inlineStr">
        <is>
          <t>건강보험업</t>
        </is>
      </c>
      <c r="F1165" s="68" t="inlineStr">
        <is>
          <t>◦건강보험을 운영하는 산업활동을 말한다.</t>
        </is>
      </c>
      <c r="G1165" s="90" t="n">
        <v>70.59999999999999</v>
      </c>
      <c r="H1165" s="90" t="n">
        <v>0</v>
      </c>
      <c r="I1165" s="90" t="n">
        <v>26.3</v>
      </c>
    </row>
    <row r="1166">
      <c r="A1166" s="65" t="inlineStr">
        <is>
          <t>660306</t>
        </is>
      </c>
      <c r="B1166" s="68" t="inlineStr">
        <is>
          <t>공공 행정, 국방 및 사회보장 행정</t>
        </is>
      </c>
      <c r="C1166" s="68" t="inlineStr">
        <is>
          <t>공공 행정, 국방 및 사회보장 행정</t>
        </is>
      </c>
      <c r="D1166" s="68" t="inlineStr">
        <is>
          <t>사회보장보험업</t>
        </is>
      </c>
      <c r="E1166" s="68" t="inlineStr">
        <is>
          <t>산업 재해 및 기타 사회보장보험업</t>
        </is>
      </c>
      <c r="F1166" s="68" t="inlineStr">
        <is>
          <t>◦근로자의 업무와 관련된 산업 재해를 보상하기 위한 요양 및 급여 등의 산업 재해보험과 실직보험 등의 사회복지적 보험기금을 관리․운영하는 산업활동을 말한다.
&lt;예 시&gt;
·실업보험
·산재보험
&lt;제 외&gt;
·연금 기금 및 공제 기금 운영(660307~660309)</t>
        </is>
      </c>
      <c r="G1166" s="90" t="n">
        <v>70.59999999999999</v>
      </c>
      <c r="H1166" s="90" t="n">
        <v>0</v>
      </c>
      <c r="I1166" s="90" t="n">
        <v>26.3</v>
      </c>
    </row>
    <row r="1167">
      <c r="A1167" s="65" t="inlineStr">
        <is>
          <t>660307</t>
        </is>
      </c>
      <c r="B1167" s="68" t="inlineStr">
        <is>
          <t>금융 및 보험업</t>
        </is>
      </c>
      <c r="C1167" s="68" t="inlineStr">
        <is>
          <t>보험업</t>
        </is>
      </c>
      <c r="D1167" s="68" t="inlineStr">
        <is>
          <t>공제업</t>
        </is>
      </c>
      <c r="E1167" s="68" t="inlineStr">
        <is>
          <t>개인 공제업</t>
        </is>
      </c>
      <c r="F1167" s="68" t="inlineStr">
        <is>
          <t>◦사업체 구성원의 복지와 대여에 사용하기 위한 공제 기금을 운영하는 산업활동을 말한다.
&lt;예 시&gt;
·군인공제
·교원공제</t>
        </is>
      </c>
      <c r="G1167" s="90" t="n">
        <v>70.59999999999999</v>
      </c>
      <c r="H1167" s="90" t="n">
        <v>0</v>
      </c>
      <c r="I1167" s="90" t="n">
        <v>26.3</v>
      </c>
    </row>
    <row r="1168">
      <c r="A1168" s="65" t="inlineStr">
        <is>
          <t>660308</t>
        </is>
      </c>
      <c r="B1168" s="68" t="inlineStr">
        <is>
          <t>금융 및 보험업</t>
        </is>
      </c>
      <c r="C1168" s="68" t="inlineStr">
        <is>
          <t>보험업</t>
        </is>
      </c>
      <c r="D1168" s="68" t="inlineStr">
        <is>
          <t>공제업</t>
        </is>
      </c>
      <c r="E1168" s="68" t="inlineStr">
        <is>
          <t>사업 공제업</t>
        </is>
      </c>
      <c r="F1168" s="68" t="inlineStr">
        <is>
          <t>◦사업체 상호간의 협동 조직을 통하여 사업활동에 필요한 각종 보증과 사업자금 융자 등을 하기 위한 공제 기금을 조성하여 운영하는 산업활동을 말한다.
&lt;예 시&gt;
·건설 공제조합
·주택 공제조합</t>
        </is>
      </c>
      <c r="G1168" s="90" t="n">
        <v>70.59999999999999</v>
      </c>
      <c r="H1168" s="90" t="n">
        <v>0</v>
      </c>
      <c r="I1168" s="90" t="n">
        <v>26.3</v>
      </c>
    </row>
    <row r="1169">
      <c r="A1169" s="65" t="inlineStr">
        <is>
          <t>660309</t>
        </is>
      </c>
      <c r="B1169" s="68" t="inlineStr">
        <is>
          <t>공공 행정, 국방 및 사회보장 행정</t>
        </is>
      </c>
      <c r="C1169" s="68" t="inlineStr">
        <is>
          <t>공공 행정, 국방 및 사회보장 행정</t>
        </is>
      </c>
      <c r="D1169" s="68" t="inlineStr">
        <is>
          <t>연금업</t>
        </is>
      </c>
      <c r="E1169" s="68" t="inlineStr">
        <is>
          <t>연금업</t>
        </is>
      </c>
      <c r="F1169" s="68" t="inlineStr">
        <is>
          <t>◦가입자가 퇴직 후에 소득 보장을 받도록 현 소득의 일부를 기금으로 공제하여 관리 및 운영하는 산업활동을 말한다.
&lt;예 시&gt;
·군인연금
·교원연금
·공무원연금
·국민연금</t>
        </is>
      </c>
      <c r="G1169" s="90" t="n">
        <v>70.59999999999999</v>
      </c>
      <c r="H1169" s="90" t="n">
        <v>0</v>
      </c>
      <c r="I1169" s="90" t="n">
        <v>26.3</v>
      </c>
    </row>
    <row r="1170">
      <c r="A1170" s="65" t="inlineStr">
        <is>
          <t>671201</t>
        </is>
      </c>
      <c r="B1170" s="68" t="inlineStr">
        <is>
          <t>금융 및 보험업</t>
        </is>
      </c>
      <c r="C1170" s="68" t="inlineStr">
        <is>
          <t>금융 및 보험관련 서비스업</t>
        </is>
      </c>
      <c r="D1170" s="68" t="inlineStr">
        <is>
          <t>기타 금융 지원 서비스업</t>
        </is>
      </c>
      <c r="E1170" s="68" t="inlineStr">
        <is>
          <t>그 외 기타 금융 지원 서비스업</t>
        </is>
      </c>
      <c r="F1170" s="68" t="inlineStr">
        <is>
          <t>◦국공채를 매입하여 증권회사에 직접 납품하는 경우에 한함</t>
        </is>
      </c>
      <c r="G1170" s="90" t="n">
        <v>99.8</v>
      </c>
      <c r="H1170" s="90" t="n">
        <v>0</v>
      </c>
      <c r="I1170" s="90" t="n">
        <v>8</v>
      </c>
    </row>
    <row r="1171">
      <c r="A1171" s="65" t="inlineStr">
        <is>
          <t>671202</t>
        </is>
      </c>
      <c r="B1171" s="68" t="inlineStr">
        <is>
          <t>금융 및 보험업</t>
        </is>
      </c>
      <c r="C1171" s="68" t="inlineStr">
        <is>
          <t>금융 및 보험관련 서비스업</t>
        </is>
      </c>
      <c r="D1171" s="68" t="inlineStr">
        <is>
          <t>증권 및 선물 중개업</t>
        </is>
      </c>
      <c r="E1171" s="68" t="inlineStr">
        <is>
          <t>증권 중개업</t>
        </is>
      </c>
      <c r="F1171" s="68" t="inlineStr">
        <is>
          <t>◦금융시장에서 증권 판매자 또는 매수자의 한편에 서서 증권을 중개하는 서비스를 제공하는 산업활동을 말하며, 부수적으로 투자 분석자료 등을 수집◦제공할 수 있다.
&lt;예 시&gt;
·증권회사
·온라인 증권회사
&lt;제 외&gt;
·자기계정에 의하여 증권을 매수, 매도하는 투자활동(659900)</t>
        </is>
      </c>
      <c r="G1171" s="90" t="n">
        <v>95</v>
      </c>
      <c r="H1171" s="90" t="n">
        <v>0</v>
      </c>
      <c r="I1171" s="90" t="n">
        <v>8</v>
      </c>
    </row>
    <row r="1172">
      <c r="A1172" s="65" t="inlineStr">
        <is>
          <t>671203</t>
        </is>
      </c>
      <c r="B1172" s="68" t="inlineStr">
        <is>
          <t>금융 및 보험업</t>
        </is>
      </c>
      <c r="C1172" s="68" t="inlineStr">
        <is>
          <t>금융 및 보험관련 서비스업</t>
        </is>
      </c>
      <c r="D1172" s="68" t="inlineStr">
        <is>
          <t>증권 및 선물 중개업</t>
        </is>
      </c>
      <c r="E1172" s="68" t="inlineStr">
        <is>
          <t>선물 중개업</t>
        </is>
      </c>
      <c r="F1172" s="68" t="inlineStr">
        <is>
          <t>◦선물 거래 방식에 의하여 회원들과 예약된 미래 상품의 판매 또는 구매를 중개하는 산업활동을 말한다.</t>
        </is>
      </c>
      <c r="G1172" s="90" t="n">
        <v>95</v>
      </c>
      <c r="H1172" s="90" t="n">
        <v>0</v>
      </c>
      <c r="I1172" s="90" t="n">
        <v>8</v>
      </c>
    </row>
    <row r="1173">
      <c r="A1173" s="65" t="inlineStr">
        <is>
          <t>671900</t>
        </is>
      </c>
      <c r="B1173" s="68" t="inlineStr">
        <is>
          <t>금융 및 보험업</t>
        </is>
      </c>
      <c r="C1173" s="68" t="inlineStr">
        <is>
          <t>금융 및 보험관련 서비스업</t>
        </is>
      </c>
      <c r="D1173" s="68" t="inlineStr">
        <is>
          <t>기타 금융 지원 서비스업</t>
        </is>
      </c>
      <c r="E1173" s="68" t="inlineStr">
        <is>
          <t>그 외 기타 금융 지원 서비스업</t>
        </is>
      </c>
      <c r="F1173" s="68" t="inlineStr">
        <is>
          <t>◦신용카드 거래 및 각종 금융 거래 결제 및 처리 서비스, 은행 및 발행자를 위한 어음, 수표 교환 및 현금화 서비스, 증권 및 금융 파생상품 이외 금융자산 중개, 외국환 서비스 및 환전 서비스, 여행자 수표의 발행, 현물환 대상 환전 영업자 서비스, 대부 중개 등 금융업과 밀접히 관련된 서비스를 제공하는 산업활동을 포함한다.
&lt;예 시&gt;
·금융 거래 결제 및 처리(이체, 지불 등)서비스
·어음, 수표 교환 서비스
·지불 결제 사업자(PG) 서비스
·외국환 서비스
·증권 및 파생상품 이외의 금융자산 중개
·대부 중개 서비스
·현물환 대상 환전 영업자 서비스(개인 대상)
&lt;제 외&gt;
·선물환 중개(671203)
·금융기관의 현물환 서비스(641100, 659201~659209, 659900, 659902~659906)
*국공채를 매입하여 증권회사에 직접 납품하는 경우에 한함(→671201)</t>
        </is>
      </c>
      <c r="G1173" s="90" t="n">
        <v>85.09999999999999</v>
      </c>
      <c r="H1173" s="90" t="n">
        <v>0</v>
      </c>
      <c r="I1173" s="90" t="n">
        <v>27.4</v>
      </c>
    </row>
    <row r="1174">
      <c r="A1174" s="65" t="inlineStr">
        <is>
          <t>671901</t>
        </is>
      </c>
      <c r="B1174" s="68" t="inlineStr">
        <is>
          <t>금융 및 보험업</t>
        </is>
      </c>
      <c r="C1174" s="68" t="inlineStr">
        <is>
          <t>금융 및 보험관련 서비스업</t>
        </is>
      </c>
      <c r="D1174" s="68" t="inlineStr">
        <is>
          <t>금융시장 관리업</t>
        </is>
      </c>
      <c r="E1174" s="68" t="inlineStr">
        <is>
          <t>금융시장 관리업</t>
        </is>
      </c>
      <c r="F1174" s="68" t="inlineStr">
        <is>
          <t>◦금융시장 관리◦감독이나 증권거래 활동 및 기타 금융기관의 활동을 규제 또는 감독하는 산업활동을 말한다. 또한 유가증권의 매매를 원활하게 하는 공간을 제공하는 산업활동을 포함한다. 보험 관련 관리◦규제◦감독하는 산업활동도 포함한다.
&lt;예 시&gt;
·금융 감독
·증권거래소
·코스닥거래소
·선물거래소
·보험 감독
&lt;제 외&gt;
·증권회사(671202)</t>
        </is>
      </c>
      <c r="G1174" s="90" t="n">
        <v>85.09999999999999</v>
      </c>
      <c r="H1174" s="90" t="n">
        <v>0</v>
      </c>
      <c r="I1174" s="90" t="n">
        <v>29</v>
      </c>
    </row>
    <row r="1175">
      <c r="A1175" s="65" t="inlineStr">
        <is>
          <t>671902</t>
        </is>
      </c>
      <c r="B1175" s="68" t="inlineStr">
        <is>
          <t>금융 및 보험업</t>
        </is>
      </c>
      <c r="C1175" s="68" t="inlineStr">
        <is>
          <t>금융 및 보험관련 서비스업</t>
        </is>
      </c>
      <c r="D1175" s="68" t="inlineStr">
        <is>
          <t>기타 금융 지원 서비스업</t>
        </is>
      </c>
      <c r="E1175" s="68" t="inlineStr">
        <is>
          <t>증권 발행, 관리, 보관 및 거래 지원 서비스업</t>
        </is>
      </c>
      <c r="F1175" s="68" t="inlineStr">
        <is>
          <t>◦수수료에 의하여 증권의 발행, 관리, 신탁 및 청산 결제, 보관 및 기타 증권 거래 관련 지원 서비스를 수행하는 산업활동을 말한다.
&lt;제 외&gt;
·고객의 자금을 모집하여 자기계정으로 투자(659903)</t>
        </is>
      </c>
      <c r="G1175" s="90" t="n">
        <v>85.09999999999999</v>
      </c>
      <c r="H1175" s="90" t="n">
        <v>0</v>
      </c>
      <c r="I1175" s="90" t="n">
        <v>29</v>
      </c>
    </row>
    <row r="1176">
      <c r="A1176" s="65" t="inlineStr">
        <is>
          <t>671903</t>
        </is>
      </c>
      <c r="B1176" s="68" t="inlineStr">
        <is>
          <t>금융 및 보험업</t>
        </is>
      </c>
      <c r="C1176" s="68" t="inlineStr">
        <is>
          <t>금융 및 보험관련 서비스업</t>
        </is>
      </c>
      <c r="D1176" s="68" t="inlineStr">
        <is>
          <t>기타 금융 지원 서비스업</t>
        </is>
      </c>
      <c r="E1176" s="68" t="inlineStr">
        <is>
          <t>투자 자문업 및 투자 일임업</t>
        </is>
      </c>
      <c r="F1176" s="68" t="inlineStr">
        <is>
          <t>◦수수료에 의하여 고객에게 투자 자문업 및 투자 일임업을 제공하는 산업활동을 말한다. 투자 자문업이 투자 분야의 결정 등 투자활동을 하지 않는 반면, 투자 일임업은 투자 판단의 전부 또는 일부를 일임 받아 투자자별로 구분하여 금융 투자 상품을 취득◦처분, 그 밖의 방법으로 운용한다.</t>
        </is>
      </c>
      <c r="G1176" s="90" t="n">
        <v>85.09999999999999</v>
      </c>
      <c r="H1176" s="90" t="n">
        <v>0</v>
      </c>
      <c r="I1176" s="90" t="n">
        <v>25.3</v>
      </c>
    </row>
    <row r="1177">
      <c r="A1177" s="65" t="inlineStr">
        <is>
          <t>672000</t>
        </is>
      </c>
      <c r="B1177" s="68" t="inlineStr">
        <is>
          <t>금융 및 보험업</t>
        </is>
      </c>
      <c r="C1177" s="68" t="inlineStr">
        <is>
          <t>금융 및 보험관련 서비스업</t>
        </is>
      </c>
      <c r="D1177" s="68" t="inlineStr">
        <is>
          <t>보험 및 연금관련 서비스업</t>
        </is>
      </c>
      <c r="E1177" s="68" t="inlineStr">
        <is>
          <t>보험 대리 및 중개업</t>
        </is>
      </c>
      <c r="F1177" s="68" t="inlineStr">
        <is>
          <t>◦보험 사업자를 위해서 보험 계약 체결을 대리 또는 중개, 알선하는 산업활동을 말한다. 이러한 보험 대리는 하나 이상의 보험 사업자를 대리할 수 있으며 보험 사업자 대리에 관련된 피보험자에 대한 대리서비스를 포함한다.
&lt;예 시&gt;
·생명보험 대리점
·손해보험 대리점</t>
        </is>
      </c>
      <c r="G1177" s="90" t="n">
        <v>73</v>
      </c>
      <c r="H1177" s="90" t="n">
        <v>0</v>
      </c>
      <c r="I1177" s="90" t="n">
        <v>25.6</v>
      </c>
    </row>
    <row r="1178">
      <c r="A1178" s="65" t="inlineStr">
        <is>
          <t>672001</t>
        </is>
      </c>
      <c r="B1178" s="68" t="inlineStr">
        <is>
          <t>금융 및 보험업</t>
        </is>
      </c>
      <c r="C1178" s="68" t="inlineStr">
        <is>
          <t>금융 및 보험관련 서비스업</t>
        </is>
      </c>
      <c r="D1178" s="68" t="inlineStr">
        <is>
          <t>보험 및 연금관련 서비스업</t>
        </is>
      </c>
      <c r="E1178" s="68" t="inlineStr">
        <is>
          <t>기타 보험 및 연금관련 서비스업</t>
        </is>
      </c>
      <c r="F1178" s="68" t="inlineStr">
        <is>
          <t>◦이 산업에는 보험 및 연금 조사 보고, 보험료 및 연금료 결정 등의 서비스를 제공하는 사업체를 포함한다.
&lt;예 시&gt;
·보험 및 연금 요율 결정
·보험 조사 보고 서비스</t>
        </is>
      </c>
      <c r="G1178" s="90" t="n">
        <v>73</v>
      </c>
      <c r="H1178" s="90" t="n">
        <v>0</v>
      </c>
      <c r="I1178" s="90" t="n">
        <v>20.7</v>
      </c>
    </row>
    <row r="1179">
      <c r="A1179" s="65" t="inlineStr">
        <is>
          <t>701101</t>
        </is>
      </c>
      <c r="B1179" s="68" t="inlineStr">
        <is>
          <t>부동산업</t>
        </is>
      </c>
      <c r="C1179" s="68" t="inlineStr">
        <is>
          <t>부동산업</t>
        </is>
      </c>
      <c r="D1179" s="68" t="inlineStr">
        <is>
          <t>부동산 임대업</t>
        </is>
      </c>
      <c r="E1179" s="68" t="inlineStr">
        <is>
          <t>주거용 건물 임대업</t>
        </is>
      </c>
      <c r="F1179" s="68" t="inlineStr">
        <is>
          <t>◦「소득세법」 제12조에 따른 기준시가가 12억원을 초과하는 주택</t>
        </is>
      </c>
      <c r="G1179" s="90" t="n">
        <v>37.4</v>
      </c>
      <c r="H1179" s="90" t="n">
        <v>0</v>
      </c>
      <c r="I1179" s="90" t="n">
        <v>9.1</v>
      </c>
    </row>
    <row r="1180">
      <c r="A1180" s="65" t="inlineStr">
        <is>
          <t>701102</t>
        </is>
      </c>
      <c r="B1180" s="68" t="inlineStr">
        <is>
          <t>부동산업</t>
        </is>
      </c>
      <c r="C1180" s="68" t="inlineStr">
        <is>
          <t>부동산업</t>
        </is>
      </c>
      <c r="D1180" s="68" t="inlineStr">
        <is>
          <t>부동산 임대업</t>
        </is>
      </c>
      <c r="E1180" s="68" t="inlineStr">
        <is>
          <t>주거용 건물 임대업</t>
        </is>
      </c>
      <c r="F1180" s="68" t="inlineStr">
        <is>
          <t>◦ 주거용 건물 및 건물 일부를 임대하는 산업활동을 말한다. 주로 1개월을 초과하는 기간으로 임대 기간을 약정하며, 가구 등 집기류를 포함하여 임대할 수 있다. 
-기준시가가 12억원을 초과하지 않는 아파트, 공동주택, 다가구주택, 단독주택 등
&lt;제 외&gt;
*기준시가 12억원 초과(→701101)
*장기임대 국민주택(공동주택 및 단독주택)(→701103)
*장기임대 국민주택(다가구주택)(→701104)
*임차부동산의 전대 또는 전전대에 따른 수입(→701301)</t>
        </is>
      </c>
      <c r="G1180" s="90" t="n">
        <v>42.6</v>
      </c>
      <c r="H1180" s="90" t="n">
        <v>0</v>
      </c>
      <c r="I1180" s="90" t="n">
        <v>15.5</v>
      </c>
    </row>
    <row r="1181">
      <c r="A1181" s="65" t="inlineStr">
        <is>
          <t>701103</t>
        </is>
      </c>
      <c r="B1181" s="68" t="inlineStr">
        <is>
          <t>부동산업</t>
        </is>
      </c>
      <c r="C1181" s="68" t="inlineStr">
        <is>
          <t>부동산업</t>
        </is>
      </c>
      <c r="D1181" s="68" t="inlineStr">
        <is>
          <t>부동산 임대업</t>
        </is>
      </c>
      <c r="E1181" s="68" t="inlineStr">
        <is>
          <t>주거용 건물 임대업(장기임대공동·단독주택)</t>
        </is>
      </c>
      <c r="F1181" s="68" t="inlineStr">
        <is>
          <t>◦장기임대 국민주택 (공동주택 및 단독주택) 
-국민주택 5호 이상을 5년 이상 임대한 경우에 한하여 적용</t>
        </is>
      </c>
      <c r="G1181" s="90" t="n">
        <v>61.6</v>
      </c>
      <c r="H1181" s="90" t="n">
        <v>0</v>
      </c>
      <c r="I1181" s="90" t="n">
        <v>20.1</v>
      </c>
    </row>
    <row r="1182">
      <c r="A1182" s="65" t="inlineStr">
        <is>
          <t>701104</t>
        </is>
      </c>
      <c r="B1182" s="68" t="inlineStr">
        <is>
          <t>부동산업</t>
        </is>
      </c>
      <c r="C1182" s="68" t="inlineStr">
        <is>
          <t>부동산업</t>
        </is>
      </c>
      <c r="D1182" s="68" t="inlineStr">
        <is>
          <t>부동산 임대업</t>
        </is>
      </c>
      <c r="E1182" s="68" t="inlineStr">
        <is>
          <t>주거용 건물 임대업(장기임대다가구주택)</t>
        </is>
      </c>
      <c r="F1182" s="68" t="inlineStr">
        <is>
          <t>◦장기임대 국민주택 (다가구주택)
 -국민주택 5호 이상을 5년 이상 임대한 경우에 한하여 적용</t>
        </is>
      </c>
      <c r="G1182" s="90" t="n">
        <v>59.2</v>
      </c>
      <c r="H1182" s="90" t="n">
        <v>0</v>
      </c>
      <c r="I1182" s="90" t="n">
        <v>17.2</v>
      </c>
    </row>
    <row r="1183">
      <c r="A1183" s="65" t="inlineStr">
        <is>
          <t>701201</t>
        </is>
      </c>
      <c r="B1183" s="68" t="inlineStr">
        <is>
          <t>부동산업</t>
        </is>
      </c>
      <c r="C1183" s="68" t="inlineStr">
        <is>
          <t>부동산업</t>
        </is>
      </c>
      <c r="D1183" s="68" t="inlineStr">
        <is>
          <t>부동산 임대업</t>
        </is>
      </c>
      <c r="E1183" s="68" t="inlineStr">
        <is>
          <t>비주거용 건물 임대업(점포, 자기땅)</t>
        </is>
      </c>
      <c r="F1183" s="68" t="inlineStr">
        <is>
          <t>◦사무, 상업 및 기타 비거주용 건물(점포, 사무실 포함)을 임대하는 산업활동을 말한다.
 -건물과 토지를 함께 임대한 경우 건물에 정착된 토지면적의 3배 이내의 토지 포함
&lt;제 외&gt;
*대지 소유자가 타인인 점포임대, 소규모 점포 임대(→701202)
*지식산업센터 임대(→701203)
*광고용 건물 임대(→701204)
*자기소유의 공유오피스 또는 소호사무실의 임대에 따른 수입(→701206)
*임차부동산의 전대 또는 전전대에 따른 수입(→701300)
*공장재단 대여(자기땅)(→701501)
*공장재단 대여(타인땅)(→701502)
*극장임대(→921404)</t>
        </is>
      </c>
      <c r="G1183" s="90" t="n">
        <v>41.5</v>
      </c>
      <c r="H1183" s="90" t="n">
        <v>0</v>
      </c>
      <c r="I1183" s="90" t="n">
        <v>19.9</v>
      </c>
    </row>
    <row r="1184">
      <c r="A1184" s="65" t="inlineStr">
        <is>
          <t>701202</t>
        </is>
      </c>
      <c r="B1184" s="68" t="inlineStr">
        <is>
          <t>부동산업</t>
        </is>
      </c>
      <c r="C1184" s="68" t="inlineStr">
        <is>
          <t>부동산업</t>
        </is>
      </c>
      <c r="D1184" s="68" t="inlineStr">
        <is>
          <t>부동산 임대업</t>
        </is>
      </c>
      <c r="E1184" s="68" t="inlineStr">
        <is>
          <t>비주거용 건물 임대업(점포, 타인땅)</t>
        </is>
      </c>
      <c r="F1184" s="68" t="inlineStr">
        <is>
          <t>◦대지 소유자가 타인인 점포임대(공장건물임대포함)
◦소규모 점포 임대
 ·해당 사업장의 연간 부동산 임대 수입금액이 600만원 미만인 점포를 임대하는 사업자</t>
        </is>
      </c>
      <c r="G1184" s="90" t="n">
        <v>36.9</v>
      </c>
      <c r="H1184" s="90" t="n">
        <v>0</v>
      </c>
      <c r="I1184" s="90" t="n">
        <v>9.800000000000001</v>
      </c>
    </row>
    <row r="1185">
      <c r="A1185" s="65" t="inlineStr">
        <is>
          <t>701203</t>
        </is>
      </c>
      <c r="B1185" s="68" t="inlineStr">
        <is>
          <t>부동산업</t>
        </is>
      </c>
      <c r="C1185" s="68" t="inlineStr">
        <is>
          <t>부동산업</t>
        </is>
      </c>
      <c r="D1185" s="68" t="inlineStr">
        <is>
          <t>부동산 임대업</t>
        </is>
      </c>
      <c r="E1185" s="68" t="inlineStr">
        <is>
          <t>비주거용 건물 임대업</t>
        </is>
      </c>
      <c r="F1185" s="68" t="inlineStr">
        <is>
          <t>◦지식산업센터 임대
 ·「산업집적활성화 및 공장설립에 관한 법률」 제2조제13호에 따른 다층형 집합 건축물 임대
 -아파트형 공장 등 임대</t>
        </is>
      </c>
      <c r="G1185" s="90" t="n">
        <v>57.2</v>
      </c>
      <c r="H1185" s="90" t="n">
        <v>0</v>
      </c>
      <c r="I1185" s="90" t="n">
        <v>22.6</v>
      </c>
    </row>
    <row r="1186">
      <c r="A1186" s="65" t="inlineStr">
        <is>
          <t>701204</t>
        </is>
      </c>
      <c r="B1186" s="68" t="inlineStr">
        <is>
          <t>부동산업</t>
        </is>
      </c>
      <c r="C1186" s="68" t="inlineStr">
        <is>
          <t>부동산업</t>
        </is>
      </c>
      <c r="D1186" s="68" t="inlineStr">
        <is>
          <t>부동산 임대업</t>
        </is>
      </c>
      <c r="E1186" s="68" t="inlineStr">
        <is>
          <t>비주거용 건물 임대업</t>
        </is>
      </c>
      <c r="F1186" s="68" t="inlineStr">
        <is>
          <t>◦광고용 건물 임대</t>
        </is>
      </c>
      <c r="G1186" s="90" t="n">
        <v>42.3</v>
      </c>
      <c r="H1186" s="90" t="n">
        <v>0</v>
      </c>
      <c r="I1186" s="90" t="n">
        <v>18.5</v>
      </c>
    </row>
    <row r="1187">
      <c r="A1187" s="65" t="inlineStr">
        <is>
          <t>701205</t>
        </is>
      </c>
      <c r="B1187" s="68" t="inlineStr">
        <is>
          <t>부동산업</t>
        </is>
      </c>
      <c r="C1187" s="68" t="inlineStr">
        <is>
          <t>부동산업</t>
        </is>
      </c>
      <c r="D1187" s="68" t="inlineStr">
        <is>
          <t>부동산 임대업</t>
        </is>
      </c>
      <c r="E1187" s="68" t="inlineStr">
        <is>
          <t>비주거용 건물 임대업</t>
        </is>
      </c>
      <c r="F1187" s="68" t="inlineStr">
        <is>
          <t>◦주방 기기와 설비가 갖춰진 공간의 대여에 따른 수입
&lt;예 시&gt;
·공유주방</t>
        </is>
      </c>
      <c r="G1187" s="90" t="n">
        <v>43.4</v>
      </c>
      <c r="H1187" s="90" t="n">
        <v>0</v>
      </c>
      <c r="I1187" s="90" t="n">
        <v>4.2</v>
      </c>
    </row>
    <row r="1188">
      <c r="A1188" s="65" t="inlineStr">
        <is>
          <t>701206</t>
        </is>
      </c>
      <c r="B1188" s="68" t="inlineStr">
        <is>
          <t>부동산업</t>
        </is>
      </c>
      <c r="C1188" s="68" t="inlineStr">
        <is>
          <t>부동산업</t>
        </is>
      </c>
      <c r="D1188" s="68" t="inlineStr">
        <is>
          <t>부동산 임대업</t>
        </is>
      </c>
      <c r="E1188" s="68" t="inlineStr">
        <is>
          <t>비주거용 건물 임대업(공유오피스 임대)</t>
        </is>
      </c>
      <c r="F1188" s="68" t="inlineStr">
        <is>
          <t>◦ 자기소유의 사무, 상업용 공간(사무실 포함)으로서 업무공간은 여러 개의 작은 공간으로 나누어 임대하고 회의실, 휴게실 등은 공동으로 사용하는 임대에 따른 수입
&lt;예시&gt; 공유오피스, 소호사무실 임대
&lt;제외&gt; 타인소유의 공유오피스 또는 소호사무실 전대(또는 전전대)에 따른 수입(→701302)</t>
        </is>
      </c>
      <c r="G1188" s="90" t="n">
        <v>41.5</v>
      </c>
      <c r="H1188" s="90" t="n">
        <v>0</v>
      </c>
      <c r="I1188" s="90" t="n">
        <v>19.9</v>
      </c>
    </row>
    <row r="1189">
      <c r="A1189" s="65" t="inlineStr">
        <is>
          <t>701300</t>
        </is>
      </c>
      <c r="B1189" s="68" t="inlineStr">
        <is>
          <t>부동산업</t>
        </is>
      </c>
      <c r="C1189" s="68" t="inlineStr">
        <is>
          <t>부동산업</t>
        </is>
      </c>
      <c r="D1189" s="68" t="inlineStr">
        <is>
          <t>부동산 임대업</t>
        </is>
      </c>
      <c r="E1189" s="68" t="inlineStr">
        <is>
          <t>비주거용 건물 임대업</t>
        </is>
      </c>
      <c r="F1189" s="68" t="inlineStr">
        <is>
          <t>◦임차부동산의 전대 또는 전전대에 따른 수입
&lt;제외&gt; 타인소유의 공유오피스 또는 소호사무실의 전대(또는 전전대)에 따른 수입(→701302)</t>
        </is>
      </c>
      <c r="G1189" s="90" t="n">
        <v>43.4</v>
      </c>
      <c r="H1189" s="90" t="n">
        <v>0</v>
      </c>
      <c r="I1189" s="90" t="n">
        <v>3.7</v>
      </c>
    </row>
    <row r="1190">
      <c r="A1190" s="65" t="inlineStr">
        <is>
          <t>701301</t>
        </is>
      </c>
      <c r="B1190" s="68" t="inlineStr">
        <is>
          <t>부동산업</t>
        </is>
      </c>
      <c r="C1190" s="68" t="inlineStr">
        <is>
          <t>부동산업</t>
        </is>
      </c>
      <c r="D1190" s="68" t="inlineStr">
        <is>
          <t>부동산 임대업</t>
        </is>
      </c>
      <c r="E1190" s="68" t="inlineStr">
        <is>
          <t>주거용 건물 임대업</t>
        </is>
      </c>
      <c r="F1190" s="68" t="inlineStr">
        <is>
          <t>◦임차부동산의 전대 또는 전전대에 따른 수입</t>
        </is>
      </c>
      <c r="G1190" s="90" t="n">
        <v>43.4</v>
      </c>
      <c r="H1190" s="90" t="n">
        <v>0</v>
      </c>
      <c r="I1190" s="90" t="n">
        <v>8.699999999999999</v>
      </c>
    </row>
    <row r="1191">
      <c r="A1191" s="65" t="inlineStr">
        <is>
          <t>701302</t>
        </is>
      </c>
      <c r="B1191" s="68" t="inlineStr">
        <is>
          <t>부동산업</t>
        </is>
      </c>
      <c r="C1191" s="68" t="inlineStr">
        <is>
          <t>부동산업</t>
        </is>
      </c>
      <c r="D1191" s="68" t="inlineStr">
        <is>
          <t>부동산 임대업</t>
        </is>
      </c>
      <c r="E1191" s="68" t="inlineStr">
        <is>
          <t>비주거용 건물 임대업(공유오피스 전대)</t>
        </is>
      </c>
      <c r="F1191" s="68" t="inlineStr">
        <is>
          <t>◦ 타인소유의 사무, 상업용 공간(사무실 포함)을 임차하여 업무공간은 여러 개의 작은 공간으로 나누어 전대 또는 전전대하고 회의실, 휴게실 등은 공동으로 사용하는 전대 또는 전전대에 따른 수입
&lt;예시&gt; 공유오피스, 소호사무실 전대 또는 전전대
&lt;제외&gt; 자기소유의 공유오피스 또는 소호사무실 임대에 따른 수입(→701206)</t>
        </is>
      </c>
      <c r="G1191" s="90" t="n">
        <v>43.4</v>
      </c>
      <c r="H1191" s="90" t="n">
        <v>0</v>
      </c>
      <c r="I1191" s="90" t="n">
        <v>5.5</v>
      </c>
    </row>
    <row r="1192">
      <c r="A1192" s="65" t="inlineStr">
        <is>
          <t>701400</t>
        </is>
      </c>
      <c r="B1192" s="68" t="inlineStr">
        <is>
          <t>부동산업</t>
        </is>
      </c>
      <c r="C1192" s="68" t="inlineStr">
        <is>
          <t>부동산업</t>
        </is>
      </c>
      <c r="D1192" s="68" t="inlineStr">
        <is>
          <t>부동산 임대업</t>
        </is>
      </c>
      <c r="E1192" s="68" t="inlineStr">
        <is>
          <t>기타 부동산 임대업</t>
        </is>
      </c>
      <c r="F1192" s="68" t="inlineStr">
        <is>
          <t>◦농업용 토지 및 기타 부동산을 임대하는 산업활동을 말한다. 부동산과 관련한 권리를 임대하는 산업활동을 포함한다.
&lt;예 시&gt;
·토지 임대
·이동 주택 용지 임대
·공터 임대
&lt;제 외&gt;
*광업재단 대여(자기땅)(→701503)
*광업재단 대여(타인땅)(→701504)</t>
        </is>
      </c>
      <c r="G1192" s="90" t="n">
        <v>14.6</v>
      </c>
      <c r="H1192" s="90" t="n">
        <v>0</v>
      </c>
      <c r="I1192" s="90" t="n">
        <v>3.1</v>
      </c>
    </row>
    <row r="1193">
      <c r="A1193" s="65" t="inlineStr">
        <is>
          <t>701501</t>
        </is>
      </c>
      <c r="B1193" s="68" t="inlineStr">
        <is>
          <t>부동산업</t>
        </is>
      </c>
      <c r="C1193" s="68" t="inlineStr">
        <is>
          <t>부동산업</t>
        </is>
      </c>
      <c r="D1193" s="68" t="inlineStr">
        <is>
          <t>부동산 임대업</t>
        </is>
      </c>
      <c r="E1193" s="68" t="inlineStr">
        <is>
          <t>비주거용 건물 임대업(자기땅)</t>
        </is>
      </c>
      <c r="F1193" s="68" t="inlineStr">
        <is>
          <t>◦「공장 및 광업재단 저당법」 제11조에 따라 보존등기된 공장재단의 대여로 인한 수입</t>
        </is>
      </c>
      <c r="G1193" s="90" t="n">
        <v>50.1</v>
      </c>
      <c r="H1193" s="90" t="n">
        <v>0</v>
      </c>
      <c r="I1193" s="90" t="n">
        <v>13.6</v>
      </c>
    </row>
    <row r="1194">
      <c r="A1194" s="65" t="inlineStr">
        <is>
          <t>701502</t>
        </is>
      </c>
      <c r="B1194" s="68" t="inlineStr">
        <is>
          <t>부동산업</t>
        </is>
      </c>
      <c r="C1194" s="68" t="inlineStr">
        <is>
          <t>부동산업</t>
        </is>
      </c>
      <c r="D1194" s="68" t="inlineStr">
        <is>
          <t>부동산 임대업</t>
        </is>
      </c>
      <c r="E1194" s="68" t="inlineStr">
        <is>
          <t>비주거용 건물 임대업(타인땅)</t>
        </is>
      </c>
      <c r="F1194" s="68" t="inlineStr">
        <is>
          <t>◦「공장 및 광업재단 저당법」 제11조에 따라 보존등기된 공장재단의 대여로 인한 수입</t>
        </is>
      </c>
      <c r="G1194" s="90" t="n">
        <v>65.8</v>
      </c>
      <c r="H1194" s="90" t="n">
        <v>0</v>
      </c>
      <c r="I1194" s="90" t="n">
        <v>15</v>
      </c>
    </row>
    <row r="1195">
      <c r="A1195" s="65" t="inlineStr">
        <is>
          <t>701503</t>
        </is>
      </c>
      <c r="B1195" s="68" t="inlineStr">
        <is>
          <t>부동산업</t>
        </is>
      </c>
      <c r="C1195" s="68" t="inlineStr">
        <is>
          <t>부동산업</t>
        </is>
      </c>
      <c r="D1195" s="68" t="inlineStr">
        <is>
          <t>부동산 임대업</t>
        </is>
      </c>
      <c r="E1195" s="68" t="inlineStr">
        <is>
          <t>기타 부동산 임대업(자기땅)</t>
        </is>
      </c>
      <c r="F1195" s="68" t="inlineStr">
        <is>
          <t>◦「공장 및 광업재단 저당법」제52조에 따라 보존등기된 광업재단의 대여로 인한 수입
◦광업재단대여시 건물과 토지를 함께 임대한 경우 건물에 정착된 토지면적의 3배 이내의 토지포지 포함</t>
        </is>
      </c>
      <c r="G1195" s="90" t="n">
        <v>50.1</v>
      </c>
      <c r="H1195" s="90" t="n">
        <v>0</v>
      </c>
      <c r="I1195" s="90" t="n">
        <v>9.6</v>
      </c>
    </row>
    <row r="1196">
      <c r="A1196" s="65" t="inlineStr">
        <is>
          <t>701504</t>
        </is>
      </c>
      <c r="B1196" s="68" t="inlineStr">
        <is>
          <t>부동산업</t>
        </is>
      </c>
      <c r="C1196" s="68" t="inlineStr">
        <is>
          <t>부동산업</t>
        </is>
      </c>
      <c r="D1196" s="68" t="inlineStr">
        <is>
          <t>부동산 임대업</t>
        </is>
      </c>
      <c r="E1196" s="68" t="inlineStr">
        <is>
          <t>기타 부동산 임대업(타인땅)</t>
        </is>
      </c>
      <c r="F1196" s="68" t="inlineStr">
        <is>
          <t>◦「공장 및 광업재단 저당법」제52조에 따라 보존등기된 광업재단의 대여로 인한 수입
◦광업재단대여시 건물과 토지를 함께 임대한 경우 건물에 정착된 토지면적의 3배 이내의 토지포함</t>
        </is>
      </c>
      <c r="G1196" s="90" t="n">
        <v>66.40000000000001</v>
      </c>
      <c r="H1196" s="90" t="n">
        <v>0</v>
      </c>
      <c r="I1196" s="90" t="n">
        <v>18.1</v>
      </c>
    </row>
    <row r="1197">
      <c r="A1197" s="65" t="inlineStr">
        <is>
          <t>701600</t>
        </is>
      </c>
      <c r="B1197" s="68" t="inlineStr">
        <is>
          <t>사업시설 관리, 사업지원 및 임대 서비스업</t>
        </is>
      </c>
      <c r="C1197" s="68" t="inlineStr">
        <is>
          <t>임대업: 부동산 제외</t>
        </is>
      </c>
      <c r="D1197" s="68" t="inlineStr">
        <is>
          <t>무형 재산권 임대업</t>
        </is>
      </c>
      <c r="E1197" s="68" t="inlineStr">
        <is>
          <t>무형 재산권 임대업</t>
        </is>
      </c>
      <c r="F1197" s="68" t="inlineStr">
        <is>
          <t>◦광업권자·조광권자의 채굴에 관한 권리의 대여로 인한 수입</t>
        </is>
      </c>
      <c r="G1197" s="90" t="n">
        <v>67.2</v>
      </c>
      <c r="H1197" s="90" t="n">
        <v>0</v>
      </c>
      <c r="I1197" s="90" t="n">
        <v>14.3</v>
      </c>
    </row>
    <row r="1198">
      <c r="A1198" s="65" t="inlineStr">
        <is>
          <t>701700</t>
        </is>
      </c>
      <c r="B1198" s="68" t="inlineStr">
        <is>
          <t>협회 및 단체, 수리 및 기타 개인서비스업</t>
        </is>
      </c>
      <c r="C1198" s="68" t="inlineStr">
        <is>
          <t>기타 개인 서비스업</t>
        </is>
      </c>
      <c r="D1198" s="68" t="inlineStr">
        <is>
          <t>장례식장 및 관련 서비스업</t>
        </is>
      </c>
      <c r="E1198" s="68" t="inlineStr">
        <is>
          <t>화장터 운영, 묘지 분양 및 관리업</t>
        </is>
      </c>
      <c r="F1198" s="68" t="inlineStr">
        <is>
          <t>◦묘지를 개발하여 분묘기지권을 설정하고 분묘설치자로부터 받은 지료 등의 수입
&lt;예 시&gt;
·공원 묘지 분양</t>
        </is>
      </c>
      <c r="G1198" s="90" t="n">
        <v>89</v>
      </c>
      <c r="H1198" s="90" t="n">
        <v>0</v>
      </c>
      <c r="I1198" s="90" t="n">
        <v>15.2</v>
      </c>
    </row>
    <row r="1199">
      <c r="A1199" s="65" t="inlineStr">
        <is>
          <t>702001</t>
        </is>
      </c>
      <c r="B1199" s="68" t="inlineStr">
        <is>
          <t>부동산업</t>
        </is>
      </c>
      <c r="C1199" s="68" t="inlineStr">
        <is>
          <t>부동산업</t>
        </is>
      </c>
      <c r="D1199" s="68" t="inlineStr">
        <is>
          <t>부동산 중개, 자문 및 감정 평가업</t>
        </is>
      </c>
      <c r="E1199" s="68" t="inlineStr">
        <is>
          <t>부동산 중개 및 대리업, 부동산 분양 대행업</t>
        </is>
      </c>
      <c r="F1199" s="68" t="inlineStr">
        <is>
          <t>◦수수료 또는 계약에 의해 건물, 토지 및 관련 구조물 등을 포함한 모든 형태의 부동산을 구매 또는 판매하는데 관련된 부동산 중개 또는 대리 서비스를 제공하는 산업활동을 말한다.
&lt;예 시&gt;
·토지 판매 중개 서비스
·부동산 판매 대리업
·건물 거래 중개업
·부동산 임대 중개업
·토지 임대 중개업
·부동산 소유권 조사 서비스
&lt;제 외&gt;
·부동산 중개, 대리 계약과 관련 없이 투자와 관련하여 독립적으로 실시되는 자문 서비스업(702004)</t>
        </is>
      </c>
      <c r="G1199" s="90" t="n">
        <v>78.2</v>
      </c>
      <c r="H1199" s="90" t="n">
        <v>0</v>
      </c>
      <c r="I1199" s="90" t="n">
        <v>22.1</v>
      </c>
    </row>
    <row r="1200">
      <c r="A1200" s="65" t="inlineStr">
        <is>
          <t>702002</t>
        </is>
      </c>
      <c r="B1200" s="68" t="inlineStr">
        <is>
          <t>부동산업</t>
        </is>
      </c>
      <c r="C1200" s="68" t="inlineStr">
        <is>
          <t>부동산업</t>
        </is>
      </c>
      <c r="D1200" s="68" t="inlineStr">
        <is>
          <t>부동산 중개, 자문 및 감정 평가업</t>
        </is>
      </c>
      <c r="E1200" s="68" t="inlineStr">
        <is>
          <t>부동산 감정 평가업</t>
        </is>
      </c>
      <c r="F1200" s="68" t="inlineStr">
        <is>
          <t>◦수수료 또는 계약에 의해 부동산 임대, 부동산 판매 등에 따른 부동산 감정 평가 업무를 수행하는 산업활동을 말한다.
&lt;예 시&gt;
·부동산 감정 평가 사무소
·부동산 감정 평가법인</t>
        </is>
      </c>
      <c r="G1200" s="90" t="n">
        <v>58.2</v>
      </c>
      <c r="H1200" s="90" t="n">
        <v>0</v>
      </c>
      <c r="I1200" s="90" t="n">
        <v>29.3</v>
      </c>
    </row>
    <row r="1201">
      <c r="A1201" s="65" t="inlineStr">
        <is>
          <t>702003</t>
        </is>
      </c>
      <c r="B1201" s="68" t="inlineStr">
        <is>
          <t>부동산업</t>
        </is>
      </c>
      <c r="C1201" s="68" t="inlineStr">
        <is>
          <t>부동산업</t>
        </is>
      </c>
      <c r="D1201" s="68" t="inlineStr">
        <is>
          <t>부동산 관리업</t>
        </is>
      </c>
      <c r="E1201" s="68" t="inlineStr">
        <is>
          <t>비주거용 부동산 관리업</t>
        </is>
      </c>
      <c r="F1201" s="68" t="inlineStr">
        <is>
          <t>◦타인을 위하여 비주거용 부동산을 관리하는 산업활동을 말한다.
&lt;예 시&gt;
·사무용 건물 관리
&lt;제 외&gt;
·사업시설 유지·관리 서비스(749935)</t>
        </is>
      </c>
      <c r="G1201" s="90" t="n">
        <v>84.2</v>
      </c>
      <c r="H1201" s="90" t="n">
        <v>0</v>
      </c>
      <c r="I1201" s="90" t="n">
        <v>21.5</v>
      </c>
    </row>
    <row r="1202">
      <c r="A1202" s="65" t="inlineStr">
        <is>
          <t>702004</t>
        </is>
      </c>
      <c r="B1202" s="68" t="inlineStr">
        <is>
          <t>부동산업</t>
        </is>
      </c>
      <c r="C1202" s="68" t="inlineStr">
        <is>
          <t>부동산업</t>
        </is>
      </c>
      <c r="D1202" s="68" t="inlineStr">
        <is>
          <t>부동산 중개, 자문 및 감정 평가업</t>
        </is>
      </c>
      <c r="E1202" s="68" t="inlineStr">
        <is>
          <t>부동산 투자 자문업</t>
        </is>
      </c>
      <c r="F1202" s="68" t="inlineStr">
        <is>
          <t>◦수수료 또는 계약에 의해 건물, 토지 및 관련 구조물 등을 포함한 모든 종류의 부동산을 구매 또는 판매하는데 관련된 부동산 투자 자문서비스를 제공하는 산업활동을 말한다. 부동산 중개 및 대리와 관련된 자문 서비스는 제외한다.
&lt;예 시&gt;
·부동산 구매 자문 서비스업
·부동산 판매 자문 서비스업
&lt;제 외&gt;
·부동산 중개, 대리와 관련하여 부수적으로 실시하는 자문 서비스업(702001)</t>
        </is>
      </c>
      <c r="G1202" s="90" t="n">
        <v>80.59999999999999</v>
      </c>
      <c r="H1202" s="90" t="n">
        <v>0</v>
      </c>
      <c r="I1202" s="90" t="n">
        <v>29.7</v>
      </c>
    </row>
    <row r="1203">
      <c r="A1203" s="65" t="inlineStr">
        <is>
          <t>702005</t>
        </is>
      </c>
      <c r="B1203" s="68" t="inlineStr">
        <is>
          <t>부동산업</t>
        </is>
      </c>
      <c r="C1203" s="68" t="inlineStr">
        <is>
          <t>부동산업</t>
        </is>
      </c>
      <c r="D1203" s="68" t="inlineStr">
        <is>
          <t>부동산 관리업</t>
        </is>
      </c>
      <c r="E1203" s="68" t="inlineStr">
        <is>
          <t>주거용 부동산 관리업</t>
        </is>
      </c>
      <c r="F1203" s="68" t="inlineStr">
        <is>
          <t>◦타인을 위하여 주거용 부동산을 관리하는 산업활동을 말한다.
&lt;예 시&gt;
·아파트 관리</t>
        </is>
      </c>
      <c r="G1203" s="90" t="n">
        <v>85.8</v>
      </c>
      <c r="H1203" s="90" t="n">
        <v>0</v>
      </c>
      <c r="I1203" s="90" t="n">
        <v>23.8</v>
      </c>
    </row>
    <row r="1204">
      <c r="A1204" s="65" t="inlineStr">
        <is>
          <t>703011</t>
        </is>
      </c>
      <c r="B1204" s="68" t="inlineStr">
        <is>
          <t>부동산업</t>
        </is>
      </c>
      <c r="C1204" s="68" t="inlineStr">
        <is>
          <t>부동산업</t>
        </is>
      </c>
      <c r="D1204" s="68" t="inlineStr">
        <is>
          <t>부동산 개발 및 공급업</t>
        </is>
      </c>
      <c r="E1204" s="68" t="inlineStr">
        <is>
          <t>주거용 건물 개발 및 공급업</t>
        </is>
      </c>
      <c r="F1204" s="68" t="inlineStr">
        <is>
          <t>◦직접 건설활동을 수행하지 않고 전체 건물 건설공사를 일괄 도급하여 주거용 건물을 건설하고, 이를 분양◦판매하는 산업활동을 말한다. 구입한 주거용 건물을 재판매하는 경우도 포함한다.(토지보유 5년 미만)
&lt;제 외&gt;
*토지보유 5년 이상(→703012)</t>
        </is>
      </c>
      <c r="G1204" s="90" t="n">
        <v>82.09999999999999</v>
      </c>
      <c r="H1204" s="90" t="n">
        <v>0</v>
      </c>
      <c r="I1204" s="90" t="n">
        <v>15.8</v>
      </c>
    </row>
    <row r="1205">
      <c r="A1205" s="65" t="inlineStr">
        <is>
          <t>703012</t>
        </is>
      </c>
      <c r="B1205" s="68" t="inlineStr">
        <is>
          <t>부동산업</t>
        </is>
      </c>
      <c r="C1205" s="68" t="inlineStr">
        <is>
          <t>부동산업</t>
        </is>
      </c>
      <c r="D1205" s="68" t="inlineStr">
        <is>
          <t>부동산 개발 및 공급업</t>
        </is>
      </c>
      <c r="E1205" s="68" t="inlineStr">
        <is>
          <t>주거용 건물 개발 및 공급업</t>
        </is>
      </c>
      <c r="F1205" s="68" t="inlineStr">
        <is>
          <t>◦주거용 건물 매매업(토지보유 5년 이상)
 -구입한 주거용 건물 재판매
&lt;제 외&gt;
*토지보유 5년 미만(→703011)</t>
        </is>
      </c>
      <c r="G1205" s="90" t="n">
        <v>70</v>
      </c>
      <c r="H1205" s="90" t="n">
        <v>0</v>
      </c>
      <c r="I1205" s="90" t="n">
        <v>11</v>
      </c>
    </row>
    <row r="1206">
      <c r="A1206" s="65" t="inlineStr">
        <is>
          <t>703014</t>
        </is>
      </c>
      <c r="B1206" s="68" t="inlineStr">
        <is>
          <t>부동산업</t>
        </is>
      </c>
      <c r="C1206" s="68" t="inlineStr">
        <is>
          <t>부동산업</t>
        </is>
      </c>
      <c r="D1206" s="68" t="inlineStr">
        <is>
          <t>부동산 개발 및 공급업</t>
        </is>
      </c>
      <c r="E1206" s="68" t="inlineStr">
        <is>
          <t>비주거용 건물 개발 및 공급업</t>
        </is>
      </c>
      <c r="F1206" s="68" t="inlineStr">
        <is>
          <t>◦직접 건설활동을 수행하지 않고 전체 건물 건설공사를 일괄 도급하여 비주거용 건물을 건설하고, 이를 분양◦판매하는 산업활동을 말한다. 구입한 비주거용 건물을 재판매하는 경우도 포함한다.(토지보유 5년 미만)
&lt;제 외&gt;
*토지보유 5년 이상(→703016)
*토지보유 5년 미만(도급건설판매)(→703021)
*토지보유 5년 이상(도급건설판매)(→703022)
*토지보유 5년 미만(건축 시행사)(→703023)
*토지보유 5년 이상(건축 시행사)(→703024)</t>
        </is>
      </c>
      <c r="G1206" s="90" t="n">
        <v>82.09999999999999</v>
      </c>
      <c r="H1206" s="90" t="n">
        <v>0</v>
      </c>
      <c r="I1206" s="90" t="n">
        <v>12.6</v>
      </c>
    </row>
    <row r="1207">
      <c r="A1207" s="65" t="inlineStr">
        <is>
          <t>703015</t>
        </is>
      </c>
      <c r="B1207" s="68" t="inlineStr">
        <is>
          <t>부동산업</t>
        </is>
      </c>
      <c r="C1207" s="68" t="inlineStr">
        <is>
          <t>부동산업</t>
        </is>
      </c>
      <c r="D1207" s="68" t="inlineStr">
        <is>
          <t>부동산 개발 및 공급업</t>
        </is>
      </c>
      <c r="E1207" s="68" t="inlineStr">
        <is>
          <t>기타 부동산 개발 및 공급업</t>
        </is>
      </c>
      <c r="F1207" s="68" t="inlineStr">
        <is>
          <t>◦택지, 농지 및 농장, 공업용지 등 각종 용도의 토지 및 기타 부동산을 위탁 또는 자영 개발하여 분양◦판매하는 산업활동을 말한다. 구입한 토지를 재판매하는 경우도 포함한다.(토지보유5년 미만)
&lt;예 시&gt;
·농지개발 분양·판매
·용지개발 분양·판매
·토지개발 분양·판매
·광산용지 개발 판매
&lt;제 외&gt;
·묘지 분양(701700)
*토지매매(토지보유5년 이상)(→703017)</t>
        </is>
      </c>
      <c r="G1207" s="90" t="n">
        <v>82.09999999999999</v>
      </c>
      <c r="H1207" s="90" t="n">
        <v>0</v>
      </c>
      <c r="I1207" s="90" t="n">
        <v>11.4</v>
      </c>
    </row>
    <row r="1208">
      <c r="A1208" s="65" t="inlineStr">
        <is>
          <t>703016</t>
        </is>
      </c>
      <c r="B1208" s="68" t="inlineStr">
        <is>
          <t>부동산업</t>
        </is>
      </c>
      <c r="C1208" s="68" t="inlineStr">
        <is>
          <t>부동산업</t>
        </is>
      </c>
      <c r="D1208" s="68" t="inlineStr">
        <is>
          <t>부동산 개발 및 공급업</t>
        </is>
      </c>
      <c r="E1208" s="68" t="inlineStr">
        <is>
          <t>비주거용 건물 개발 및 공급업</t>
        </is>
      </c>
      <c r="F1208" s="68" t="inlineStr">
        <is>
          <t>◦비주거용 건물 매매업(토지보유 5년 이상)
 -구입한 비주거용 건물을 재판매
&lt;예 시&gt;
·상가 개발 공급(분양)
·휴양시설 개발 공급(분양)</t>
        </is>
      </c>
      <c r="G1208" s="90" t="n">
        <v>70</v>
      </c>
      <c r="H1208" s="90" t="n">
        <v>0</v>
      </c>
      <c r="I1208" s="90" t="n">
        <v>11.4</v>
      </c>
    </row>
    <row r="1209">
      <c r="A1209" s="65" t="inlineStr">
        <is>
          <t>703017</t>
        </is>
      </c>
      <c r="B1209" s="68" t="inlineStr">
        <is>
          <t>부동산업</t>
        </is>
      </c>
      <c r="C1209" s="68" t="inlineStr">
        <is>
          <t>부동산업</t>
        </is>
      </c>
      <c r="D1209" s="68" t="inlineStr">
        <is>
          <t>부동산 개발 및 공급업</t>
        </is>
      </c>
      <c r="E1209" s="68" t="inlineStr">
        <is>
          <t>기타 부동산 개발 및 공급업</t>
        </is>
      </c>
      <c r="F1209" s="68" t="inlineStr">
        <is>
          <t xml:space="preserve">◦각종용도의 토지매매업(토지보유5년 이상)
 *각종 용도의 토지 및 기타 부동산을 위탁 또는 자영 개발하여 분양. 재판매. 구입한 토지를 재판매 하는 경우도 포함
 ·간척지개발농지분양판매, 관광농지개발분양, 광업권매매, 농장개발분양
</t>
        </is>
      </c>
      <c r="G1209" s="90" t="n">
        <v>70</v>
      </c>
      <c r="H1209" s="90" t="n">
        <v>0</v>
      </c>
      <c r="I1209" s="90" t="n">
        <v>10</v>
      </c>
    </row>
    <row r="1210">
      <c r="A1210" s="65" t="inlineStr">
        <is>
          <t>703021</t>
        </is>
      </c>
      <c r="B1210" s="68" t="inlineStr">
        <is>
          <t>부동산업</t>
        </is>
      </c>
      <c r="C1210" s="68" t="inlineStr">
        <is>
          <t>부동산업</t>
        </is>
      </c>
      <c r="D1210" s="68" t="inlineStr">
        <is>
          <t>부동산 개발 및 공급업</t>
        </is>
      </c>
      <c r="E1210" s="68" t="inlineStr">
        <is>
          <t>비주거용 건물 개발 및 공급업</t>
        </is>
      </c>
      <c r="F1210" s="68" t="inlineStr">
        <is>
          <t>◦비주거용 건물을 건설하여 판매(토지보유 5년 미만)
 -직접 건설활동을 수행하지 않고 건설공사 분야별로 도급을 주어 전체적으로 건설공사를 관리하는 경우 포함</t>
        </is>
      </c>
      <c r="G1210" s="90" t="n">
        <v>85.59999999999999</v>
      </c>
      <c r="H1210" s="90" t="n">
        <v>0</v>
      </c>
      <c r="I1210" s="90" t="n">
        <v>20.5</v>
      </c>
    </row>
    <row r="1211">
      <c r="A1211" s="65" t="inlineStr">
        <is>
          <t>703022</t>
        </is>
      </c>
      <c r="B1211" s="68" t="inlineStr">
        <is>
          <t>부동산업</t>
        </is>
      </c>
      <c r="C1211" s="68" t="inlineStr">
        <is>
          <t>부동산업</t>
        </is>
      </c>
      <c r="D1211" s="68" t="inlineStr">
        <is>
          <t>부동산 개발 및 공급업</t>
        </is>
      </c>
      <c r="E1211" s="68" t="inlineStr">
        <is>
          <t>비주거용 건물 개발 및 공급업</t>
        </is>
      </c>
      <c r="F1211" s="68" t="inlineStr">
        <is>
          <t>◦비주거용 건물을 건설하여 판매(토지보유 5년 이상)
 -직접 건설활동을 수행하지 않고 건설공사 분야별로 도급을 주어 전체적으로 건설공사를 관리하는 경우 포함</t>
        </is>
      </c>
      <c r="G1211" s="90" t="n">
        <v>83.09999999999999</v>
      </c>
      <c r="H1211" s="90" t="n">
        <v>0</v>
      </c>
      <c r="I1211" s="90" t="n">
        <v>13.8</v>
      </c>
    </row>
    <row r="1212">
      <c r="A1212" s="65" t="inlineStr">
        <is>
          <t>703023</t>
        </is>
      </c>
      <c r="B1212" s="68" t="inlineStr">
        <is>
          <t>부동산업</t>
        </is>
      </c>
      <c r="C1212" s="68" t="inlineStr">
        <is>
          <t>부동산업</t>
        </is>
      </c>
      <c r="D1212" s="68" t="inlineStr">
        <is>
          <t>부동산 개발 및 공급업</t>
        </is>
      </c>
      <c r="E1212" s="68" t="inlineStr">
        <is>
          <t>비주거용 건물 개발 및 공급업</t>
        </is>
      </c>
      <c r="F1212" s="68" t="inlineStr">
        <is>
          <t>◦비주거용 부동산을 신축하여 판매(토지보유 5년 미만)
 -직접 건설을 수행하지 않고 전체 건물공사를 일괄 도급하여 건물을 건설하고 이를 분양, 판매(건축 시행사)</t>
        </is>
      </c>
      <c r="G1212" s="90" t="n">
        <v>86.7</v>
      </c>
      <c r="H1212" s="90" t="n">
        <v>0</v>
      </c>
      <c r="I1212" s="90" t="n">
        <v>12</v>
      </c>
    </row>
    <row r="1213">
      <c r="A1213" s="65" t="inlineStr">
        <is>
          <t>703024</t>
        </is>
      </c>
      <c r="B1213" s="68" t="inlineStr">
        <is>
          <t>부동산업</t>
        </is>
      </c>
      <c r="C1213" s="68" t="inlineStr">
        <is>
          <t>부동산업</t>
        </is>
      </c>
      <c r="D1213" s="68" t="inlineStr">
        <is>
          <t>부동산 개발 및 공급업</t>
        </is>
      </c>
      <c r="E1213" s="68" t="inlineStr">
        <is>
          <t>비주거용 건물 개발 및 공급업</t>
        </is>
      </c>
      <c r="F1213" s="68" t="inlineStr">
        <is>
          <t>◦비주거용 부동산을 신축하여 판매(토지보유 5년 이상)
 -직접 건설을 수행하지 않고 전체 건물공사를 일괄 도급하여 건물을 건설하고 이를 분양, 판매(건축 시행사)</t>
        </is>
      </c>
      <c r="G1213" s="90" t="n">
        <v>85.59999999999999</v>
      </c>
      <c r="H1213" s="90" t="n">
        <v>0</v>
      </c>
      <c r="I1213" s="90" t="n">
        <v>14.8</v>
      </c>
    </row>
    <row r="1214">
      <c r="A1214" s="65" t="inlineStr">
        <is>
          <t>712100</t>
        </is>
      </c>
      <c r="B1214" s="68" t="inlineStr">
        <is>
          <t>사업시설 관리, 사업지원 및 임대 서비스업</t>
        </is>
      </c>
      <c r="C1214" s="68" t="inlineStr">
        <is>
          <t>임대업: 부동산 제외</t>
        </is>
      </c>
      <c r="D1214" s="68" t="inlineStr">
        <is>
          <t>기타 산업용 기계 및 장비 임대업</t>
        </is>
      </c>
      <c r="E1214" s="68" t="inlineStr">
        <is>
          <t>기타 산업용 기계 및 장비 임대업</t>
        </is>
      </c>
      <c r="F1214" s="68" t="inlineStr">
        <is>
          <t>◦운전자 없이 농업용 기계장비를 주로 리스 또는 임대하는 업</t>
        </is>
      </c>
      <c r="G1214" s="90" t="n">
        <v>81.2</v>
      </c>
      <c r="H1214" s="90" t="n">
        <v>0</v>
      </c>
      <c r="I1214" s="90" t="n">
        <v>25.1</v>
      </c>
    </row>
    <row r="1215">
      <c r="A1215" s="65" t="inlineStr">
        <is>
          <t>712200</t>
        </is>
      </c>
      <c r="B1215" s="68" t="inlineStr">
        <is>
          <t>사업시설 관리, 사업지원 및 임대 서비스업</t>
        </is>
      </c>
      <c r="C1215" s="68" t="inlineStr">
        <is>
          <t>임대업: 부동산 제외</t>
        </is>
      </c>
      <c r="D1215" s="68" t="inlineStr">
        <is>
          <t>기타 운송장비 임대업</t>
        </is>
      </c>
      <c r="E1215" s="68" t="inlineStr">
        <is>
          <t>기타 운송장비 임대업</t>
        </is>
      </c>
      <c r="F1215" s="68" t="inlineStr">
        <is>
          <t>◦자동차를 제외한 기타 운송장비를 운전자 없이 리스 또는 임대하는 산업활동을 말한다.
&lt;예 시&gt;
·컨테이너 임대
·선박 임대
·모터사이클 임대
·철도 차량 임대
·항공기 임대
·상업용 보트 임대
·운전자 없는 운송장비 재임대
&lt;제 외&gt;
·승무원 딸린 수상 운송장비 임대(611001~611005, 612000~612002)
·수상 오락시설에서의 놀이용 보트 임대 및 관련 정박 설비 운영(924915)
·조종사 딸린 항공 운송장비 임대(621000, 621001)</t>
        </is>
      </c>
      <c r="G1215" s="90" t="n">
        <v>78.5</v>
      </c>
      <c r="H1215" s="90" t="n">
        <v>0</v>
      </c>
      <c r="I1215" s="90" t="n">
        <v>19</v>
      </c>
    </row>
    <row r="1216">
      <c r="A1216" s="65" t="inlineStr">
        <is>
          <t>712201</t>
        </is>
      </c>
      <c r="B1216" s="68" t="inlineStr">
        <is>
          <t>사업시설 관리, 사업지원 및 임대 서비스업</t>
        </is>
      </c>
      <c r="C1216" s="68" t="inlineStr">
        <is>
          <t>임대업: 부동산 제외</t>
        </is>
      </c>
      <c r="D1216" s="68" t="inlineStr">
        <is>
          <t>기타 산업용 기계 및 장비 임대업</t>
        </is>
      </c>
      <c r="E1216" s="68" t="inlineStr">
        <is>
          <t>기타 산업용 기계 및 장비 임대업</t>
        </is>
      </c>
      <c r="F1216" s="68" t="inlineStr">
        <is>
          <t>◦일반적으로 사업체에서 자본재로 사용되는 각종 기계◦장비를 리스 또는 임대하거나 특정 산업 및 상업용 기계◦장비를 리스 또는 임대하는 산업활동을 말한다. 각종 산업용 기계 및 장비를 종합 임대하는 활동도 포함한다.
&lt;예 시&gt;
·기관 및 터빈 임대
·전문 과학 기계·장비 임대
·공작기계 임대
·측정 및 제어용 기계·장비 임대
·광산 및 유전용 장비 임대
·동전 조작식 오락기 임대(사업장 용품)
·화물 취급장비 임대
·도박기계 임대
·벌목장비 임대
·통신장비 임대
·파렛트 임대
·각종 장비 종합 임대
·동물 임대
·용접장비 임대
&lt;제 외&gt;
·운전자가 딸린 농업용 기계·장비 임대(014302)
·정원용 장비 임대(713001)
·금융 리스(659208)
·건설 및 토목공사용 기계·장비 임대(운전자 없이)(712201)
·사무용 기계·장비 임대(조작자 없이)(712203)
*운전자 없이 농업용 기계장비를 리스 또는 임대(→712100)
*연극공연 및 영화제작 용품임대(→713003)</t>
        </is>
      </c>
      <c r="G1216" s="90" t="n">
        <v>79.59999999999999</v>
      </c>
      <c r="H1216" s="90" t="n">
        <v>0</v>
      </c>
      <c r="I1216" s="90" t="n">
        <v>21.4</v>
      </c>
    </row>
    <row r="1217">
      <c r="A1217" s="65" t="inlineStr">
        <is>
          <t>712202</t>
        </is>
      </c>
      <c r="B1217" s="68" t="inlineStr">
        <is>
          <t>사업시설 관리, 사업지원 및 임대 서비스업</t>
        </is>
      </c>
      <c r="C1217" s="68" t="inlineStr">
        <is>
          <t>임대업: 부동산 제외</t>
        </is>
      </c>
      <c r="D1217" s="68" t="inlineStr">
        <is>
          <t>건설 및 토목공사용 기계ㆍ장비 임대업</t>
        </is>
      </c>
      <c r="E1217" s="68" t="inlineStr">
        <is>
          <t>건설 및 토목공사용 기계ㆍ장비 임대업</t>
        </is>
      </c>
      <c r="F1217" s="68" t="inlineStr">
        <is>
          <t>◦운전자 없이 건설 및 토목공사용 기계◦장비(크레인 차량 포함)를 리스 또는 임대하는 산업활동을 말한다.
&lt;예 시&gt;
·굴착기, 굴삭기, 포크레인 임대
·건설용 거푸집(유로폼) 임대
&lt;제 외&gt;
·운전자 딸린 건설 기계·장비 임대(453000)
·화물 취급장비 임대(712201)</t>
        </is>
      </c>
      <c r="G1217" s="90" t="n">
        <v>79.59999999999999</v>
      </c>
      <c r="H1217" s="90" t="n">
        <v>0</v>
      </c>
      <c r="I1217" s="90" t="n">
        <v>22.5</v>
      </c>
    </row>
    <row r="1218">
      <c r="A1218" s="65" t="inlineStr">
        <is>
          <t>712203</t>
        </is>
      </c>
      <c r="B1218" s="68" t="inlineStr">
        <is>
          <t>사업시설 관리, 사업지원 및 임대 서비스업</t>
        </is>
      </c>
      <c r="C1218" s="68" t="inlineStr">
        <is>
          <t>임대업: 부동산 제외</t>
        </is>
      </c>
      <c r="D1218" s="68" t="inlineStr">
        <is>
          <t>컴퓨터 및 사무용 기계ㆍ장비 임대업</t>
        </is>
      </c>
      <c r="E1218" s="68" t="inlineStr">
        <is>
          <t>컴퓨터 및 사무용 기계ㆍ장비 임대업</t>
        </is>
      </c>
      <c r="F1218" s="68" t="inlineStr">
        <is>
          <t>◦조작자 없이 컴퓨터를 포함한 각종 사무, 회계 및 계산기를 리스 또는 임대하는 산업활동을 말한다.
&lt;예 시&gt;
·팩시밀리 임대
·복사기 임대
·사무용 가구 임대
·현금 등록기 임대
·회계 기계·장비 임대
&lt;제 외&gt;
·컴퓨터 및 주변기기 유지·수리(725000)</t>
        </is>
      </c>
      <c r="G1218" s="90" t="n">
        <v>79.59999999999999</v>
      </c>
      <c r="H1218" s="90" t="n">
        <v>0</v>
      </c>
      <c r="I1218" s="90" t="n">
        <v>15.3</v>
      </c>
    </row>
    <row r="1219">
      <c r="A1219" s="65" t="inlineStr">
        <is>
          <t>713001</t>
        </is>
      </c>
      <c r="B1219" s="68" t="inlineStr">
        <is>
          <t>사업시설 관리, 사업지원 및 임대 서비스업</t>
        </is>
      </c>
      <c r="C1219" s="68" t="inlineStr">
        <is>
          <t>임대업: 부동산 제외</t>
        </is>
      </c>
      <c r="D1219" s="68" t="inlineStr">
        <is>
          <t>기타 개인 및 가정용품 임대업</t>
        </is>
      </c>
      <c r="E1219" s="68" t="inlineStr">
        <is>
          <t>그 외 기타 개인 및 가정용품 임대업</t>
        </is>
      </c>
      <c r="F1219" s="68" t="inlineStr">
        <is>
          <t>◦달리 분류되지 않은 개인 및 가정용품을 임대하는 산업활동을 말한다. 각종 가정용품의 종합 임대 활동도 여기에 포함한다.
&lt;예 시&gt;
·주방 및 식탁용품 임대
·가전제품 임대
·가정용 가구 임대
·가정용 기기 임대
·휠체어 임대
·화환, 화분 임대
·장신구 임대
·의복 및 가정용 직물제품 임대
·정원용품 임대
·악기 임대</t>
        </is>
      </c>
      <c r="G1219" s="90" t="n">
        <v>84.90000000000001</v>
      </c>
      <c r="H1219" s="90" t="n">
        <v>0</v>
      </c>
      <c r="I1219" s="90" t="n">
        <v>23.3</v>
      </c>
    </row>
    <row r="1220">
      <c r="A1220" s="65" t="inlineStr">
        <is>
          <t>713002</t>
        </is>
      </c>
      <c r="B1220" s="68" t="inlineStr">
        <is>
          <t>사업시설 관리, 사업지원 및 임대 서비스업</t>
        </is>
      </c>
      <c r="C1220" s="68" t="inlineStr">
        <is>
          <t>임대업: 부동산 제외</t>
        </is>
      </c>
      <c r="D1220" s="68" t="inlineStr">
        <is>
          <t>스포츠 및 레크리에이션 용품 임대업</t>
        </is>
      </c>
      <c r="E1220" s="68" t="inlineStr">
        <is>
          <t>스포츠 및 레크리에이션 용품 임대업</t>
        </is>
      </c>
      <c r="F1220" s="68" t="inlineStr">
        <is>
          <t>◦각종 운동, 여가 및 유희용품을 임대하는 산업활동을 말한다.
&lt;예 시&gt;
·스키 임대
·장난감 임대
·자전거 임대
·물놀이 기구 임대
·승무원이 동승하지 않는 낚싯배 및 카누 임대(수상 오락시설과는 독립적으로 경영하는 경우)
&lt;제 외&gt;
·오락산업에 종사하는 사업체에서 그 산업활동에 포함하여 오락용품을 임대하는 경우는 적합한 항목에 분류
·물놀이 시설에서의 물놀이 기구 임대(924915)</t>
        </is>
      </c>
      <c r="G1220" s="90" t="n">
        <v>84.8</v>
      </c>
      <c r="H1220" s="90" t="n">
        <v>0</v>
      </c>
      <c r="I1220" s="90" t="n">
        <v>21.9</v>
      </c>
    </row>
    <row r="1221">
      <c r="A1221" s="65" t="inlineStr">
        <is>
          <t>713003</t>
        </is>
      </c>
      <c r="B1221" s="68" t="inlineStr">
        <is>
          <t>사업시설 관리, 사업지원 및 임대 서비스업</t>
        </is>
      </c>
      <c r="C1221" s="68" t="inlineStr">
        <is>
          <t>임대업: 부동산 제외</t>
        </is>
      </c>
      <c r="D1221" s="68" t="inlineStr">
        <is>
          <t>기타 산업용 기계 및 장비 임대업</t>
        </is>
      </c>
      <c r="E1221" s="68" t="inlineStr">
        <is>
          <t>기타 산업용 기계 및 장비 임대업</t>
        </is>
      </c>
      <c r="F1221" s="68" t="inlineStr">
        <is>
          <t>◦연극공연 및 영화제작 용품임대
 -연극공연 및 영화제작에 관련하여 사용되는 무대장치, 배경설비, 무대의상 및 관련용품을 주로 임대하는 업
&lt;예 시&gt;
·영화촬영장, 연극공연용품, 무대의상 및 장치, 영화제작용품, 영화촬영 장비 등의 임대</t>
        </is>
      </c>
      <c r="G1221" s="90" t="n">
        <v>83.2</v>
      </c>
      <c r="H1221" s="90" t="n">
        <v>0</v>
      </c>
      <c r="I1221" s="90" t="n">
        <v>24.4</v>
      </c>
    </row>
    <row r="1222">
      <c r="A1222" s="65" t="inlineStr">
        <is>
          <t>713004</t>
        </is>
      </c>
      <c r="B1222" s="68" t="inlineStr">
        <is>
          <t>사업시설 관리, 사업지원 및 임대 서비스업</t>
        </is>
      </c>
      <c r="C1222" s="68" t="inlineStr">
        <is>
          <t>임대업: 부동산 제외</t>
        </is>
      </c>
      <c r="D1222" s="68" t="inlineStr">
        <is>
          <t>음반 및 비디오물 임대업</t>
        </is>
      </c>
      <c r="E1222" s="68" t="inlineStr">
        <is>
          <t>음반 및 비디오물 임대업</t>
        </is>
      </c>
      <c r="F1222" s="68" t="inlineStr">
        <is>
          <t>◦음반, 비디오테이프 및 기타 오디오 기록물, 게임 소프트웨어를 임대하는 산업활동을 말한다.
&lt;예 시&gt;
·비디오테이프 임대
·오디오 테이프 임대
·게임 소프트웨어 임대
&lt;제 외&gt;
·영화용 필름 임대(921100)</t>
        </is>
      </c>
      <c r="G1222" s="90" t="n">
        <v>83.40000000000001</v>
      </c>
      <c r="H1222" s="90" t="n">
        <v>0</v>
      </c>
      <c r="I1222" s="90" t="n">
        <v>14.6</v>
      </c>
    </row>
    <row r="1223">
      <c r="A1223" s="65" t="inlineStr">
        <is>
          <t>713005</t>
        </is>
      </c>
      <c r="B1223" s="68" t="inlineStr">
        <is>
          <t>사업시설 관리, 사업지원 및 임대 서비스업</t>
        </is>
      </c>
      <c r="C1223" s="68" t="inlineStr">
        <is>
          <t>임대업: 부동산 제외</t>
        </is>
      </c>
      <c r="D1223" s="68" t="inlineStr">
        <is>
          <t>기타 개인 및 가정용품 임대업</t>
        </is>
      </c>
      <c r="E1223" s="68" t="inlineStr">
        <is>
          <t>서적 임대업</t>
        </is>
      </c>
      <c r="F1223" s="68" t="inlineStr">
        <is>
          <t>◦각종 서적, 정기 간행물, 잡지 등 인쇄 기록물을 임대하는 산업활동을 말한다.
&lt;예 시&gt;
·만화책 임대
&lt;제 외&gt;
·도서관, 자료실 및 시청각실(923101), 독서실(923100)운영</t>
        </is>
      </c>
      <c r="G1223" s="90" t="n">
        <v>86.59999999999999</v>
      </c>
      <c r="H1223" s="90" t="n">
        <v>0</v>
      </c>
      <c r="I1223" s="90" t="n">
        <v>18.8</v>
      </c>
    </row>
    <row r="1224">
      <c r="A1224" s="65" t="inlineStr">
        <is>
          <t>713006</t>
        </is>
      </c>
      <c r="B1224" s="68" t="inlineStr">
        <is>
          <t>사업시설 관리, 사업지원 및 임대 서비스업</t>
        </is>
      </c>
      <c r="C1224" s="68" t="inlineStr">
        <is>
          <t>임대업: 부동산 제외</t>
        </is>
      </c>
      <c r="D1224" s="68" t="inlineStr">
        <is>
          <t>기타 개인 및 가정용품 임대업</t>
        </is>
      </c>
      <c r="E1224" s="68" t="inlineStr">
        <is>
          <t>의류 임대업</t>
        </is>
      </c>
      <c r="F1224" s="68" t="inlineStr">
        <is>
          <t>◦정장 및 기타 의류를 임대하는 산업활동을 말한다.
&lt;예 시&gt;
·상복 임대
·연극 의류 임대
·영화 의류 임대
&lt;제 외&gt;
*신부(신랑)드레스대여(→930903)</t>
        </is>
      </c>
      <c r="G1224" s="90" t="n">
        <v>85.8</v>
      </c>
      <c r="H1224" s="90" t="n">
        <v>0</v>
      </c>
      <c r="I1224" s="90" t="n">
        <v>22.7</v>
      </c>
    </row>
    <row r="1225">
      <c r="A1225" s="65" t="inlineStr">
        <is>
          <t>721000</t>
        </is>
      </c>
      <c r="B1225" s="68" t="inlineStr">
        <is>
          <t>정보통신업</t>
        </is>
      </c>
      <c r="C1225" s="68" t="inlineStr">
        <is>
          <t>컴퓨터 프로그래밍, 시스템 통합 및 관리업</t>
        </is>
      </c>
      <c r="D1225" s="68" t="inlineStr">
        <is>
          <t>컴퓨터 시스템 통합 자문, 구축 및 관리업</t>
        </is>
      </c>
      <c r="E1225" s="68" t="inlineStr">
        <is>
          <t>컴퓨터 시스템 통합 자문 및 구축 서비스업</t>
        </is>
      </c>
      <c r="F1225" s="68" t="inlineStr">
        <is>
          <t>◦컴퓨터 하드웨어, 소프트웨어 및 통신 기술을 통합하는 컴퓨터 시스템을 기획, 설계하는 산업활동을 말한다. 이 사업체는 시스템 통합 서비스를 위하여 구성 요소인 하드웨어와 소프트웨어의 개발, 판매, 시스템 설치, 시스템 이용자 훈련을 부수적으로 수행할 수 있다.
&lt;예 시&gt;
·시스템 통합(SI) 구축 설계
·시스템 통합 설계 자문
·근거리 통신망(LAN) 컴퓨터 시스템 통합 설계
·사무 자동화 컴퓨터 시스템 통합 설계
·정보 관리 컴퓨터 시스템 통합 설계</t>
        </is>
      </c>
      <c r="G1225" s="90" t="n">
        <v>75</v>
      </c>
      <c r="H1225" s="90" t="n">
        <v>0</v>
      </c>
      <c r="I1225" s="90" t="n">
        <v>23.4</v>
      </c>
    </row>
    <row r="1226">
      <c r="A1226" s="65" t="inlineStr">
        <is>
          <t>721001</t>
        </is>
      </c>
      <c r="B1226" s="68" t="inlineStr">
        <is>
          <t>정보통신업</t>
        </is>
      </c>
      <c r="C1226" s="68" t="inlineStr">
        <is>
          <t>컴퓨터 프로그래밍, 시스템 통합 및 관리업</t>
        </is>
      </c>
      <c r="D1226" s="68" t="inlineStr">
        <is>
          <t>컴퓨터 시스템 통합 자문, 구축 및 관리업</t>
        </is>
      </c>
      <c r="E1226" s="68" t="inlineStr">
        <is>
          <t>컴퓨터시설 관리업</t>
        </is>
      </c>
      <c r="F1226" s="68" t="inlineStr">
        <is>
          <t>◦고객 사업장의 컴퓨터 시스템 및 자료 처리시설을 관리하는 산업활동을 말한다. 이러한 관리활동은 고객의 사업장 또는 관리 사업체에서 온라인으로 수행할 수 있으며, 부수적으로 관련 소프트웨어의 설계 및 보완이 관리과정에서 이루어질 수 있다.</t>
        </is>
      </c>
      <c r="G1226" s="90" t="n">
        <v>78.09999999999999</v>
      </c>
      <c r="H1226" s="90" t="n">
        <v>0</v>
      </c>
      <c r="I1226" s="90" t="n">
        <v>26.3</v>
      </c>
    </row>
    <row r="1227">
      <c r="A1227" s="65" t="inlineStr">
        <is>
          <t>722000</t>
        </is>
      </c>
      <c r="B1227" s="68" t="inlineStr">
        <is>
          <t>정보통신업</t>
        </is>
      </c>
      <c r="C1227" s="68" t="inlineStr">
        <is>
          <t>출판업</t>
        </is>
      </c>
      <c r="D1227" s="68" t="inlineStr">
        <is>
          <t>시스템ㆍ응용 소프트웨어 개발 및 공급업</t>
        </is>
      </c>
      <c r="E1227" s="68" t="inlineStr">
        <is>
          <t>응용 소프트웨어 개발 및 공급업</t>
        </is>
      </c>
      <c r="F1227" s="68" t="inlineStr">
        <is>
          <t>◦컴퓨터에서 특정한 업무 처리를 위하여 기능 및 프로세스를 프로그램화 하여 자동적으로 처리하는 범용성의 응용 소프트웨어를 개발하는 산업활동을 말한다. 인터넷, 휴대폰 및 PDA 등에 사용하는 모바일용 응용 소프트웨어를 개발ㆍ공급하는 산업활동도 포함한다.
&lt;예 시&gt;
·통계 처리 프로그램 개발
·사무용 S/W 개발
·회계용 S/W 개발
·기업 관리용(ERP) S/W 개발
·임베디드용 응용 S/W 개발
·응용 소프트웨어 소스 코드(source code) 개발·공급
·인터넷 및 모바일용 응용 S/W 개발
&lt;제 외&gt;
·게임 소프트웨어 개발(722001,722002,722003)</t>
        </is>
      </c>
      <c r="G1227" s="90" t="n">
        <v>75.2</v>
      </c>
      <c r="H1227" s="90" t="n">
        <v>0</v>
      </c>
      <c r="I1227" s="90" t="n">
        <v>24.7</v>
      </c>
    </row>
    <row r="1228">
      <c r="A1228" s="65" t="inlineStr">
        <is>
          <t>722001</t>
        </is>
      </c>
      <c r="B1228" s="68" t="inlineStr">
        <is>
          <t>정보통신업</t>
        </is>
      </c>
      <c r="C1228" s="68" t="inlineStr">
        <is>
          <t>출판업</t>
        </is>
      </c>
      <c r="D1228" s="68" t="inlineStr">
        <is>
          <t>게임 소프트웨어 개발 및 공급업</t>
        </is>
      </c>
      <c r="E1228" s="68" t="inlineStr">
        <is>
          <t>유선 온라인 게임 소프트웨어 개발 및 공급업</t>
        </is>
      </c>
      <c r="F1228" s="68" t="inlineStr">
        <is>
          <t>◦유선 통신시설을 이용한 온라인 게임 소프트웨어를 개발하는 산업활동을 말한다. 이들 게임 소프트웨어에 대한 저작권을 보유하고 공급하는 산업활동도 포함한다.
&lt;예 시&gt;
·유선 온라인 게임 S/W 개발
·탁상 컴퓨터용 온라인 게임 S/W 개발
·유선 인터넷 온라인 게임 S/W 공급(저작권 보유)
&lt;제 외&gt;
·PC 패키지 게임 S/W 개발(722003)
·아케이드 게임 및 비디오 게임 S/W 개발(722003)</t>
        </is>
      </c>
      <c r="G1228" s="90" t="n">
        <v>75.2</v>
      </c>
      <c r="H1228" s="90" t="n">
        <v>0</v>
      </c>
      <c r="I1228" s="90" t="n">
        <v>20.7</v>
      </c>
    </row>
    <row r="1229">
      <c r="A1229" s="65" t="inlineStr">
        <is>
          <t>722002</t>
        </is>
      </c>
      <c r="B1229" s="68" t="inlineStr">
        <is>
          <t>정보통신업</t>
        </is>
      </c>
      <c r="C1229" s="68" t="inlineStr">
        <is>
          <t>출판업</t>
        </is>
      </c>
      <c r="D1229" s="68" t="inlineStr">
        <is>
          <t>게임 소프트웨어 개발 및 공급업</t>
        </is>
      </c>
      <c r="E1229" s="68" t="inlineStr">
        <is>
          <t>모바일 게임 소프트웨어 개발 및 공급업</t>
        </is>
      </c>
      <c r="F1229" s="68" t="inlineStr">
        <is>
          <t>◦휴대 전화, PDA 등 이동성 기기를 통하여 제공하는 온라인 게임 소프트웨어를 개발하는 산업활동을 말한다. 이들 게임 소프트웨어에 대한 저작권을 보유하고 공급하는 산업활동도 포함한다.
&lt;예 시&gt;
·무선 온라인 게임 S/W 개발
·휴대폰용 온라인 게임 S/W 개발
·PDA용 게임 S/W 개발
·모바일용 게임 S/W 개발
·모바일용 온라인 게임 S/W 공급(저작권 보유)
&lt;제 외&gt;
·유선 온라인 게임 소프트웨어를 변형 없이 모바일에서 사용 가능한 경우(722001)</t>
        </is>
      </c>
      <c r="G1229" s="90" t="n">
        <v>68</v>
      </c>
      <c r="H1229" s="90" t="n">
        <v>0</v>
      </c>
      <c r="I1229" s="90" t="n">
        <v>11.4</v>
      </c>
    </row>
    <row r="1230">
      <c r="A1230" s="65" t="inlineStr">
        <is>
          <t>722003</t>
        </is>
      </c>
      <c r="B1230" s="68" t="inlineStr">
        <is>
          <t>정보통신업</t>
        </is>
      </c>
      <c r="C1230" s="68" t="inlineStr">
        <is>
          <t>출판업</t>
        </is>
      </c>
      <c r="D1230" s="68" t="inlineStr">
        <is>
          <t>게임 소프트웨어 개발 및 공급업</t>
        </is>
      </c>
      <c r="E1230" s="68" t="inlineStr">
        <is>
          <t>기타 게임 소프트웨어 개발 및 공급업</t>
        </is>
      </c>
      <c r="F1230" s="68" t="inlineStr">
        <is>
          <t>◦컴퓨터 패키지 게임, 아케이드 게임 및 비디오 게임용의 소프트웨어를 개발◦공급하는 산업활동을 말한다. 휴대용 게임 기기에 이용되는 게임 소프트웨어를 개발◦공급하는 산업활동을 포함한다.
&lt;예 시&gt;
·아케이드 게임 S/W 개발업
·컴퓨터 패키지게임 S/W 개발
·비디오 콘솔 게임 S/W 개발
·휴대 게임기용 게임 S/W 개발
&lt;제 외&gt;
·온라인 및 모바일용 게임소프트웨어 개발(722001, 722002)</t>
        </is>
      </c>
      <c r="G1230" s="90" t="n">
        <v>78.40000000000001</v>
      </c>
      <c r="H1230" s="90" t="n">
        <v>0</v>
      </c>
      <c r="I1230" s="90" t="n">
        <v>24.7</v>
      </c>
    </row>
    <row r="1231">
      <c r="A1231" s="65" t="inlineStr">
        <is>
          <t>722004</t>
        </is>
      </c>
      <c r="B1231" s="68" t="inlineStr">
        <is>
          <t>정보통신업</t>
        </is>
      </c>
      <c r="C1231" s="68" t="inlineStr">
        <is>
          <t>출판업</t>
        </is>
      </c>
      <c r="D1231" s="68" t="inlineStr">
        <is>
          <t>시스템ㆍ응용 소프트웨어 개발 및 공급업</t>
        </is>
      </c>
      <c r="E1231" s="68" t="inlineStr">
        <is>
          <t>시스템 소프트웨어 개발 및 공급업</t>
        </is>
      </c>
      <c r="F1231" s="68" t="inlineStr">
        <is>
          <t>◦컴퓨터 및 서버 등 하드웨어에 설치되는 응용 소프트웨어를 유기적으로 작동시키는 시스템 소프트웨어를 개발◦공급하는 산업활동을 말한다. 하드웨어 운영체제(OS) 기능 중 파일 관리, 메모리 관리, 바이러스 예방, 파일 압축 등의 기능을 보완하는 유틸리티 소프트웨어를 개발◦공급하는 산업활동도 포함한다.
&lt;예 시&gt;
·운영체제(OS) 개발
·시스템 관리(SMS) S/W 개발
·DBMS 개발
·보안 프로그램 개발
·프로그램밍 언어 개발
·임베디드용 시스템 S/W 개발
·유틸리티 S/W 개발
&lt;제 외&gt;
·게임 소프트웨어 개발(722001,722002,722003)</t>
        </is>
      </c>
      <c r="G1231" s="90" t="n">
        <v>75.2</v>
      </c>
      <c r="H1231" s="90" t="n">
        <v>0</v>
      </c>
      <c r="I1231" s="90" t="n">
        <v>22.1</v>
      </c>
    </row>
    <row r="1232">
      <c r="A1232" s="65" t="inlineStr">
        <is>
          <t>722005</t>
        </is>
      </c>
      <c r="B1232" s="68" t="inlineStr">
        <is>
          <t>정보통신업</t>
        </is>
      </c>
      <c r="C1232" s="68" t="inlineStr">
        <is>
          <t>컴퓨터 프로그래밍, 시스템 통합 및 관리업</t>
        </is>
      </c>
      <c r="D1232" s="68" t="inlineStr">
        <is>
          <t>컴퓨터 프로그래밍 서비스업</t>
        </is>
      </c>
      <c r="E1232" s="68" t="inlineStr">
        <is>
          <t>컴퓨터 프로그래밍 서비스업</t>
        </is>
      </c>
      <c r="F1232" s="68" t="inlineStr">
        <is>
          <t>◦특정 고객의 요구에 의하여 주문형 소프트웨어를 자문, 개발 및 공급하는 산업활동을 말한다.
&lt;예 시&gt;
·주문형 응용 소프트웨어 제작
·주문형 컴퓨터 소프트웨어 분석·설계
·웹디자인(프로그래밍 수반)
&lt;제 외&gt;
·패키지형(범용성) 소프트웨어 개발 및 공급(722000~722004)</t>
        </is>
      </c>
      <c r="G1232" s="90" t="n">
        <v>75.2</v>
      </c>
      <c r="H1232" s="90" t="n">
        <v>0</v>
      </c>
      <c r="I1232" s="90" t="n">
        <v>24.3</v>
      </c>
    </row>
    <row r="1233">
      <c r="A1233" s="65" t="inlineStr">
        <is>
          <t>723000</t>
        </is>
      </c>
      <c r="B1233" s="68" t="inlineStr">
        <is>
          <t>정보통신업</t>
        </is>
      </c>
      <c r="C1233" s="68" t="inlineStr">
        <is>
          <t>정보서비스업</t>
        </is>
      </c>
      <c r="D1233" s="68" t="inlineStr">
        <is>
          <t>자료 처리, 호스팅 및 관련 서비스업</t>
        </is>
      </c>
      <c r="E1233" s="68" t="inlineStr">
        <is>
          <t>자료 처리업</t>
        </is>
      </c>
      <c r="F1233" s="68" t="inlineStr">
        <is>
          <t>◦전산자료 처리 서비스를 제공하는 산업활동을 말한다.
&lt;예 시&gt;
·자료 입력 처리
·OMR 및 OCR 자료 처리
·자료 전환 처리 서비스
·자료 스캐닝 서비스</t>
        </is>
      </c>
      <c r="G1233" s="90" t="n">
        <v>82</v>
      </c>
      <c r="H1233" s="90" t="n">
        <v>0</v>
      </c>
      <c r="I1233" s="90" t="n">
        <v>18.3</v>
      </c>
    </row>
    <row r="1234">
      <c r="A1234" s="65" t="inlineStr">
        <is>
          <t>723001</t>
        </is>
      </c>
      <c r="B1234" s="68" t="inlineStr">
        <is>
          <t>정보통신업</t>
        </is>
      </c>
      <c r="C1234" s="68" t="inlineStr">
        <is>
          <t>방송 및 영상·오디오물 제공 서비스업, 정보서비스업</t>
        </is>
      </c>
      <c r="D1234" s="68" t="inlineStr">
        <is>
          <t>오디오물 제공 서비스업, 자료 처리, 호스팅 및 관련 서비스업</t>
        </is>
      </c>
      <c r="E1234" s="68" t="inlineStr">
        <is>
          <t>오디오물 제공 서비스업, 호스팅 및 관련서비스업</t>
        </is>
      </c>
      <c r="F1234" s="68" t="inlineStr">
        <is>
          <t>◦웹 호스팅 서비스, 서브 호스팅 서비스, 코로케이션 서비스 등의 호스팅 서비스를 제공하는 산업활동을 말한다. 블록체인 기술 관련 호스팅 서비스도 포함한다.
&lt;예 시&gt;
·웹 호스팅 서비스       
·서브 호스팅 서비스    
·IDC 센터                            
·코로케이션 서비스        
․블록체인 기술 기반 Baas, IaaS, PaaS, Saas 등 서비스</t>
        </is>
      </c>
      <c r="G1234" s="90" t="n">
        <v>80.5</v>
      </c>
      <c r="H1234" s="90" t="n">
        <v>0</v>
      </c>
      <c r="I1234" s="90" t="n">
        <v>27.1</v>
      </c>
    </row>
    <row r="1235">
      <c r="A1235" s="65" t="inlineStr">
        <is>
          <t>724000</t>
        </is>
      </c>
      <c r="B1235" s="68" t="inlineStr">
        <is>
          <t>정보통신업</t>
        </is>
      </c>
      <c r="C1235" s="68" t="inlineStr">
        <is>
          <t>방송 및 영상·오디오물 제공 서비스업, 정보서비스업</t>
        </is>
      </c>
      <c r="D1235" s="68" t="inlineStr">
        <is>
          <t>영상물 제공 서비스업, 오디오물 제공 서비스업, 그 외 기타 정보서비스업</t>
        </is>
      </c>
      <c r="E1235" s="68" t="inlineStr">
        <is>
          <t>영상물 제공 서비스업, 오디오물 제공 서비스업, 데이터베이스 및 온라인 정보 제공업</t>
        </is>
      </c>
      <c r="F1235" s="68" t="inlineStr">
        <is>
          <t>◦영상(영화 등)물 관련 스트리밍 서비스 등을 시청자에게 제공하는 산업활동을 말한다.
◦영상물 및 오디오물 제공 서비스를 제외한 각종 자료를 수집 및 조합하여 일정 형식(포맷)에 따라 가공된 정보를 컴퓨터에 수록하여 주문에 따라 자동응답 전화, 온라인, 전자장치(디스켓 등) 등의 전자 매체로 제공하는 산업활동을 말한다. 신용 조사, 광고 대리, 주식 시세 작성, 여행 정보 작성 등의 특정 산업 활동을 주로 수행하는 사업체가 관련정보를 온라인으로 서비스할 경우에는 그 본질적인 활동에 따라 분류된다.
&lt;예 시&gt;
·영상 파일 다운로드 서비스(제작사 제외)    ·영상물 관련 스트리밍 서비스
·인터넷(온라인) 동영상 서비스(OTT)       ·학습 정보 온라인 서비스          
·전자책 온라인 서비스
&lt;제 외&gt;
·인터넷 정보 매개 서비스(642004)</t>
        </is>
      </c>
      <c r="G1235" s="90" t="n">
        <v>76</v>
      </c>
      <c r="H1235" s="90" t="n">
        <v>0</v>
      </c>
      <c r="I1235" s="90" t="n">
        <v>22</v>
      </c>
    </row>
    <row r="1236">
      <c r="A1236" s="65" t="inlineStr">
        <is>
          <t>724001</t>
        </is>
      </c>
      <c r="B1236" s="68" t="inlineStr">
        <is>
          <t>정보통신업</t>
        </is>
      </c>
      <c r="C1236" s="68" t="inlineStr">
        <is>
          <t>정보서비스업</t>
        </is>
      </c>
      <c r="D1236" s="68" t="inlineStr">
        <is>
          <t>뉴스 제공업</t>
        </is>
      </c>
      <c r="E1236" s="68" t="inlineStr">
        <is>
          <t>뉴스 제공업</t>
        </is>
      </c>
      <c r="F1236" s="68" t="inlineStr">
        <is>
          <t>◦신문 또는 정기 간행물의 발행사, 방송사, 정보 제공업자 등에 뉴스 리포터, 뉴스 사진 등을 공급하는 산업활동을 말한다.
&lt;예 시&gt;
·뉴스 공급
·뉴스 사진 공급
&lt;제 외&gt;
·신문 또는 정기간행물을 발간하는 사업체의 일상적인 활동으로 수행되는 뉴스 제공(221200~221202)
·방송사의 프로그램에서 일상적으로 수행되는 뉴스 제공(921301~921303,921305,921306)
·자유 기고가(940100), 가사 작성자(940301) 및 만화가(940200)의 서비스</t>
        </is>
      </c>
      <c r="G1236" s="90" t="n">
        <v>76.7</v>
      </c>
      <c r="H1236" s="90" t="n">
        <v>0</v>
      </c>
      <c r="I1236" s="90" t="n">
        <v>23.9</v>
      </c>
    </row>
    <row r="1237">
      <c r="A1237" s="65" t="inlineStr">
        <is>
          <t>724002</t>
        </is>
      </c>
      <c r="B1237" s="68" t="inlineStr">
        <is>
          <t>정보통신업</t>
        </is>
      </c>
      <c r="C1237" s="68" t="inlineStr">
        <is>
          <t>정보서비스업</t>
        </is>
      </c>
      <c r="D1237" s="68" t="inlineStr">
        <is>
          <t>그 외 기타 정보 서비스업</t>
        </is>
      </c>
      <c r="E1237" s="68" t="inlineStr">
        <is>
          <t>가상자산 매매 및 중개업, 그 외 기타 정보 서비스업</t>
        </is>
      </c>
      <c r="F1237" s="68" t="inlineStr">
        <is>
          <t>◦가상자산 매매 및 중개와 관련한 서비스를 제공하는 산업활동을 말한다. 블록체인 기술에 기반하여 산출되는 가상자산을 보관·관리·교환·매매·알선 또는 중개하는 산업활동도 포함한다.
◦정보를 제공하는 기타 서비스 활동을 말한다.  블록체인 기술 적용과 관련하여 제공하는 달리 분류되지 않은 각종 정보서비스 활동도 포함한다.
&lt;예 시&gt;
·가상자산 매매 및 중개           
·가상화폐 매매 및 중개
·암호화폐 매매 및 중개                         
·텍스트 음성 변환 서비스</t>
        </is>
      </c>
      <c r="G1237" s="90" t="n">
        <v>77.8</v>
      </c>
      <c r="H1237" s="90" t="n">
        <v>0</v>
      </c>
      <c r="I1237" s="90" t="n">
        <v>23.4</v>
      </c>
    </row>
    <row r="1238">
      <c r="A1238" s="65" t="inlineStr">
        <is>
          <t>725000</t>
        </is>
      </c>
      <c r="B1238" s="68" t="inlineStr">
        <is>
          <t>협회 및 단체, 수리 및 기타 개인서비스업</t>
        </is>
      </c>
      <c r="C1238" s="68" t="inlineStr">
        <is>
          <t>개인 및 소비용품 수리업</t>
        </is>
      </c>
      <c r="D1238" s="68" t="inlineStr">
        <is>
          <t>컴퓨터 및 주변 기기 수리업</t>
        </is>
      </c>
      <c r="E1238" s="68" t="inlineStr">
        <is>
          <t>컴퓨터 및 주변 기기 수리업</t>
        </is>
      </c>
      <c r="F1238" s="68" t="inlineStr">
        <is>
          <t>◦컴퓨터 및 각종 컴퓨터 주변 기기류를 전문적으로 수리◦유지하는 산업활동을 말한다.
&lt;예 시&gt;
·컴퓨터 수리
·주변기기 수리
&lt;제 외&gt;
·컴퓨터시설 운영·관리 대리(721001)</t>
        </is>
      </c>
      <c r="G1238" s="90" t="n">
        <v>80.90000000000001</v>
      </c>
      <c r="H1238" s="90" t="n">
        <v>0</v>
      </c>
      <c r="I1238" s="90" t="n">
        <v>16.9</v>
      </c>
    </row>
    <row r="1239">
      <c r="A1239" s="65" t="inlineStr">
        <is>
          <t>729000</t>
        </is>
      </c>
      <c r="B1239" s="68" t="inlineStr">
        <is>
          <t>정보통신업</t>
        </is>
      </c>
      <c r="C1239" s="68" t="inlineStr">
        <is>
          <t>컴퓨터 프로그래밍, 시스템 통합 및 관리업</t>
        </is>
      </c>
      <c r="D1239" s="68" t="inlineStr">
        <is>
          <t>기타 정보 기술 및 컴퓨터 운영 관련 서비스업</t>
        </is>
      </c>
      <c r="E1239" s="68" t="inlineStr">
        <is>
          <t>기타 정보 기술 및 컴퓨터 운영 관련 서비스업</t>
        </is>
      </c>
      <c r="F1239" s="68" t="inlineStr">
        <is>
          <t>◦기타 컴퓨터 관리 및 운영관련 서비스를 제공하는 산업활동으로서 컴퓨터 시스템에 관련한 전문적, 기술적 서비스를 제공하는 산업활동을 말한다. 블록체인 기반 기술도 포함한다.
&lt;예 시&gt;
·컴퓨터 장애 복구
·컴퓨터 및 소프트웨어 설치
&lt;제 외&gt;
·데이터베이스 및 온라인 정보 제공업(724000)
․컴퓨터 시설 위탁 관리 서비스(721001)
․컴퓨터 시스템 통합 자문 및 구축 서비스(721000)</t>
        </is>
      </c>
      <c r="G1239" s="90" t="n">
        <v>82.2</v>
      </c>
      <c r="H1239" s="90" t="n">
        <v>0</v>
      </c>
      <c r="I1239" s="90" t="n">
        <v>25.3</v>
      </c>
    </row>
    <row r="1240">
      <c r="A1240" s="65" t="inlineStr">
        <is>
          <t>730000</t>
        </is>
      </c>
      <c r="B1240" s="68" t="inlineStr">
        <is>
          <t>전문, 과학 및 기술서비스업</t>
        </is>
      </c>
      <c r="C1240" s="68" t="inlineStr">
        <is>
          <t>연구개발업</t>
        </is>
      </c>
      <c r="D1240" s="68" t="inlineStr">
        <is>
          <t>인문 및 사회과학 연구개발업</t>
        </is>
      </c>
      <c r="E1240" s="68" t="inlineStr">
        <is>
          <t>기타 인문 및 사회과학 연구개발업</t>
        </is>
      </c>
      <c r="F1240" s="68" t="inlineStr">
        <is>
          <t>◦기타 인문 및 사회과학 연구개발을 수행하는 산업활동을 말한다. 그 외 다학제간 사회과학 연구개발업을 포함한다.
&lt;예 시&gt;
·심리학 연구
·정치학 연구
·사회학 연구
·문화학 연구
·철학 연구
·역사학 연구
·복지학 연구
·도시계획학 연구
·교육학 연구
·법학 연구
·언어학 연구
·군사학 연구
·인류학·종족학·인구학 연구
·인간·경제·사회 지리학 연구</t>
        </is>
      </c>
      <c r="G1240" s="90" t="n">
        <v>79.3</v>
      </c>
      <c r="H1240" s="90" t="n">
        <v>0</v>
      </c>
      <c r="I1240" s="90" t="n">
        <v>24.3</v>
      </c>
    </row>
    <row r="1241">
      <c r="A1241" s="65" t="inlineStr">
        <is>
          <t>730001</t>
        </is>
      </c>
      <c r="B1241" s="68" t="inlineStr">
        <is>
          <t>전문, 과학 및 기술서비스업</t>
        </is>
      </c>
      <c r="C1241" s="68" t="inlineStr">
        <is>
          <t>연구개발업</t>
        </is>
      </c>
      <c r="D1241" s="68" t="inlineStr">
        <is>
          <t>자연과학 연구개발업</t>
        </is>
      </c>
      <c r="E1241" s="68" t="inlineStr">
        <is>
          <t>물리, 화학 및 생물학 연구개발업</t>
        </is>
      </c>
      <c r="F1241" s="68" t="inlineStr">
        <is>
          <t>◦물리, 화학 및 생물학 분야에 관하여 연구개발을 수행하는 산업활동을 말한다.
&lt;예 시&gt;
·물리화학 연구
·핵물리 연구
·유기화학 연구
·에너지 분자 물리 연구
·생화학 연구
·생태학 연구
·미생물학 연구
·천문학 연구  
·무기화학 연구
·발효학 연구
·동식물 생리학 연구
·우주과학 연구
·생물학 연구
·식물학 연구
·박테리아학 연구
·미생물학 연구
·동물학 연구
·곤충학 연구
·동·식물 유전학 연구</t>
        </is>
      </c>
      <c r="G1241" s="90" t="n">
        <v>79.3</v>
      </c>
      <c r="H1241" s="90" t="n">
        <v>0</v>
      </c>
      <c r="I1241" s="90" t="n">
        <v>17.4</v>
      </c>
    </row>
    <row r="1242">
      <c r="A1242" s="65" t="inlineStr">
        <is>
          <t>730002</t>
        </is>
      </c>
      <c r="B1242" s="68" t="inlineStr">
        <is>
          <t>전문, 과학 및 기술서비스업</t>
        </is>
      </c>
      <c r="C1242" s="68" t="inlineStr">
        <is>
          <t>연구개발업</t>
        </is>
      </c>
      <c r="D1242" s="68" t="inlineStr">
        <is>
          <t>자연과학 연구개발업</t>
        </is>
      </c>
      <c r="E1242" s="68" t="inlineStr">
        <is>
          <t>농림수산학 및 수의학 연구개발업</t>
        </is>
      </c>
      <c r="F1242" s="68" t="inlineStr">
        <is>
          <t>◦농업, 임업, 어업 및 수의학에 관하여 연구개발을 수행 하는 산업활동을 말한다.
&lt;예 시&gt; 
·농경학 연구
·조경학 연구
·수의학 연구
·낙농학 연구
·수산학 연구
·종묘학 연구
·원예학 연구
·축산학 연구</t>
        </is>
      </c>
      <c r="G1242" s="90" t="n">
        <v>81.40000000000001</v>
      </c>
      <c r="H1242" s="90" t="n">
        <v>0</v>
      </c>
      <c r="I1242" s="90" t="n">
        <v>31.9</v>
      </c>
    </row>
    <row r="1243">
      <c r="A1243" s="65" t="inlineStr">
        <is>
          <t>730003</t>
        </is>
      </c>
      <c r="B1243" s="68" t="inlineStr">
        <is>
          <t>전문, 과학 및 기술서비스업</t>
        </is>
      </c>
      <c r="C1243" s="68" t="inlineStr">
        <is>
          <t>연구개발업</t>
        </is>
      </c>
      <c r="D1243" s="68" t="inlineStr">
        <is>
          <t>자연과학 연구개발업</t>
        </is>
      </c>
      <c r="E1243" s="68" t="inlineStr">
        <is>
          <t>의학 및 약학 연구개발업</t>
        </is>
      </c>
      <c r="F1243" s="68" t="inlineStr">
        <is>
          <t>◦인간 의학, 약학 및 보건학 분야에 관하여 연구개발을 수행하는 산업활동을 말한다.
&lt;예 시&gt;
·정신 의학 연구
·공중 보건 연구
·물리 요법 연구
·암 및 기타 질환 연구
·신약 개발 연구
·기초의학 연구(해부학, 생리학, 세포학, 유전학, 약학, 약물학, 독물학, 면역학, 면역 혈액학, 임상화학, 임상 미생물학, 병리학 등)
·임상의학 연구(마취학, 소아ㆍ산부인과ㆍ내과ㆍ외과ㆍ치의학ㆍ신경의학, 방사선학, 치료학, 이비인후과학, 안과학 등)
·보건학(위생학, 간호학, 전염병학 등)</t>
        </is>
      </c>
      <c r="G1243" s="90" t="n">
        <v>80.2</v>
      </c>
      <c r="H1243" s="90" t="n">
        <v>0</v>
      </c>
      <c r="I1243" s="90" t="n">
        <v>23.2</v>
      </c>
    </row>
    <row r="1244">
      <c r="A1244" s="65" t="inlineStr">
        <is>
          <t>730004</t>
        </is>
      </c>
      <c r="B1244" s="68" t="inlineStr">
        <is>
          <t>전문, 과학 및 기술서비스업</t>
        </is>
      </c>
      <c r="C1244" s="68" t="inlineStr">
        <is>
          <t>연구개발업</t>
        </is>
      </c>
      <c r="D1244" s="68" t="inlineStr">
        <is>
          <t>자연과학 연구개발업</t>
        </is>
      </c>
      <c r="E1244" s="68" t="inlineStr">
        <is>
          <t>기타 자연과학 연구개발업</t>
        </is>
      </c>
      <c r="F1244" s="68" t="inlineStr">
        <is>
          <t>◦기타 자연과학 분야에 관하여 연구개발을 수행하는 산업활동을 말한다.
&lt;예 시&gt;
·광물학 연구
·토양학 연구
·석유학 연구
·기상학 연구
·수학 연구
·수리 통계학 연구
·지구과학 연구
·지진학 연구
·지질학 연구
·지구 물리학 연구
·대기화학 연구
·해양학 연구
·화산학
·고생태학
·컴퓨터 과학(소프트웨어 부문)</t>
        </is>
      </c>
      <c r="G1244" s="90" t="n">
        <v>79.3</v>
      </c>
      <c r="H1244" s="90" t="n">
        <v>0</v>
      </c>
      <c r="I1244" s="90" t="n">
        <v>23.5</v>
      </c>
    </row>
    <row r="1245">
      <c r="A1245" s="65" t="inlineStr">
        <is>
          <t>730005</t>
        </is>
      </c>
      <c r="B1245" s="68" t="inlineStr">
        <is>
          <t>전문, 과학 및 기술서비스업</t>
        </is>
      </c>
      <c r="C1245" s="68" t="inlineStr">
        <is>
          <t>연구개발업</t>
        </is>
      </c>
      <c r="D1245" s="68" t="inlineStr">
        <is>
          <t>공학 연구개발업</t>
        </is>
      </c>
      <c r="E1245" s="68" t="inlineStr">
        <is>
          <t>전기ㆍ전자공학 연구개발업</t>
        </is>
      </c>
      <c r="F1245" s="68" t="inlineStr">
        <is>
          <t>◦전기◦통신, 반도체, 컴퓨터 및 음향◦화상 신호 처리 등의 전기◦전자공학에 관한 연구개발을 수행하는 산업활동을 말한다.
&lt;예 시&gt;
·전기 및 전자공학 연구
·통신 및 관련 시스템공학 연구
·컴퓨터 공학(하드웨어 부문) 연구</t>
        </is>
      </c>
      <c r="G1245" s="90" t="n">
        <v>79.3</v>
      </c>
      <c r="H1245" s="90" t="n">
        <v>0</v>
      </c>
      <c r="I1245" s="90" t="n">
        <v>22.4</v>
      </c>
    </row>
    <row r="1246">
      <c r="A1246" s="65" t="inlineStr">
        <is>
          <t>730006</t>
        </is>
      </c>
      <c r="B1246" s="68" t="inlineStr">
        <is>
          <t>전문, 과학 및 기술서비스업</t>
        </is>
      </c>
      <c r="C1246" s="68" t="inlineStr">
        <is>
          <t>연구개발업</t>
        </is>
      </c>
      <c r="D1246" s="68" t="inlineStr">
        <is>
          <t>공학 연구개발업</t>
        </is>
      </c>
      <c r="E1246" s="68" t="inlineStr">
        <is>
          <t>기타 공학 연구개발업</t>
        </is>
      </c>
      <c r="F1246" s="68" t="inlineStr">
        <is>
          <t>◦기타 공학 및 기술 분야에 관하여 연구 개발을 수행하는 산업활동을 말한다. 그 외 전문화된 다학제간 공학 연구개발업을 포함한다.
&lt;예 시&gt;
·화학공학 연구
·해양공학 연구
·항공공학 연구
·기계공학 연구
·환경공학 연구
·핵공학 연구
·조선공학 연구
·건축 및 토목공학 연구
·산업 관련 시스템공학 연구
·우주공학 연구
·금속 및 재료공학 연구
·식품 생산공학 연구
·금속ㆍ광산ㆍ섬유공학 연구
·도시공학 연구
·구조공학 연구
·측지학 연구</t>
        </is>
      </c>
      <c r="G1246" s="90" t="n">
        <v>79.3</v>
      </c>
      <c r="H1246" s="90" t="n">
        <v>0</v>
      </c>
      <c r="I1246" s="90" t="n">
        <v>21</v>
      </c>
    </row>
    <row r="1247">
      <c r="A1247" s="65" t="inlineStr">
        <is>
          <t>730007</t>
        </is>
      </c>
      <c r="B1247" s="68" t="inlineStr">
        <is>
          <t>전문, 과학 및 기술서비스업</t>
        </is>
      </c>
      <c r="C1247" s="68" t="inlineStr">
        <is>
          <t>연구개발업</t>
        </is>
      </c>
      <c r="D1247" s="68" t="inlineStr">
        <is>
          <t>자연과학 및 공학 융합 연구개발업</t>
        </is>
      </c>
      <c r="E1247" s="68" t="inlineStr">
        <is>
          <t>자연과학 및 공학 융합 연구개발업</t>
        </is>
      </c>
      <c r="F1247" s="68" t="inlineStr">
        <is>
          <t>◦특정 자연과학 및 공학 연구 분야에 해당하지 않고, 다학제에 걸친 융합 연구개발을 수행하는 산업활동을 말한다.
&lt;제 외&gt;
·자연과학 두 개 이상 연구 분야에 걸친 융합 연구(730004)
·공학 두 개 이상 연구 분야에 걸친 융합 연구(730006)</t>
        </is>
      </c>
      <c r="G1247" s="90" t="n">
        <v>85.90000000000001</v>
      </c>
      <c r="H1247" s="90" t="n">
        <v>0</v>
      </c>
      <c r="I1247" s="90" t="n">
        <v>25.3</v>
      </c>
    </row>
    <row r="1248">
      <c r="A1248" s="65" t="inlineStr">
        <is>
          <t>730008</t>
        </is>
      </c>
      <c r="B1248" s="68" t="inlineStr">
        <is>
          <t>전문, 과학 및 기술서비스업</t>
        </is>
      </c>
      <c r="C1248" s="68" t="inlineStr">
        <is>
          <t>연구개발업</t>
        </is>
      </c>
      <c r="D1248" s="68" t="inlineStr">
        <is>
          <t>인문 및 사회과학 연구개발업</t>
        </is>
      </c>
      <c r="E1248" s="68" t="inlineStr">
        <is>
          <t>경제 및 경영학 연구개발업</t>
        </is>
      </c>
      <c r="F1248" s="68" t="inlineStr">
        <is>
          <t>◦경제, 경영, 금융, 경제 및 사회 통계 이론 등에 관하여 연구 개발을 수행하는 산업활동을 말한다.
&lt;예 시&gt;
·경제학 연구
·경영학 연구
·경제 통계학 연구
·사회 통계학 연구</t>
        </is>
      </c>
      <c r="G1248" s="90" t="n">
        <v>79.3</v>
      </c>
      <c r="H1248" s="90" t="n">
        <v>0</v>
      </c>
      <c r="I1248" s="90" t="n">
        <v>31.1</v>
      </c>
    </row>
    <row r="1249">
      <c r="A1249" s="65" t="inlineStr">
        <is>
          <t>741101</t>
        </is>
      </c>
      <c r="B1249" s="68" t="inlineStr">
        <is>
          <t>전문, 과학 및 기술서비스업</t>
        </is>
      </c>
      <c r="C1249" s="68" t="inlineStr">
        <is>
          <t>전문 서비스업</t>
        </is>
      </c>
      <c r="D1249" s="68" t="inlineStr">
        <is>
          <t>법무관련 서비스업</t>
        </is>
      </c>
      <c r="E1249" s="68" t="inlineStr">
        <is>
          <t>변호사업</t>
        </is>
      </c>
      <c r="F1249" s="68" t="inlineStr">
        <is>
          <t>◦의뢰인을 대리하여 민◦형사 및 기타 사건의 소송, 변호, 소원 심사 청구, 이의 신청 등을 수행하는 산업활동을 말한다.
&lt;예 시&gt;
·변호사 사무
·소송 대리인
·공증 변호인
·소송 사건 법률 상담</t>
        </is>
      </c>
      <c r="G1249" s="90" t="n">
        <v>44.6</v>
      </c>
      <c r="H1249" s="90" t="n">
        <v>0</v>
      </c>
      <c r="I1249" s="90" t="n">
        <v>15.9</v>
      </c>
    </row>
    <row r="1250">
      <c r="A1250" s="65" t="inlineStr">
        <is>
          <t>741104</t>
        </is>
      </c>
      <c r="B1250" s="68" t="inlineStr">
        <is>
          <t>전문, 과학 및 기술서비스업</t>
        </is>
      </c>
      <c r="C1250" s="68" t="inlineStr">
        <is>
          <t>전문 서비스업</t>
        </is>
      </c>
      <c r="D1250" s="68" t="inlineStr">
        <is>
          <t>법무관련 서비스업</t>
        </is>
      </c>
      <c r="E1250" s="68" t="inlineStr">
        <is>
          <t>변리사업</t>
        </is>
      </c>
      <c r="F1250" s="68" t="inlineStr">
        <is>
          <t>◦의뢰인을 대리하여 특허, 실용 신안, 디자인(의장), 상표 및 저작권에 대한 등기 신청, 이의 신청 등을 수행하는 산업활동을 말한다.
&lt;예 시&gt;
·특허 사무
·변리사 사무
·저작권 관련 법률 사무
·비금융 무형자산 관련 법률 사무</t>
        </is>
      </c>
      <c r="G1250" s="90" t="n">
        <v>60.7</v>
      </c>
      <c r="H1250" s="90" t="n">
        <v>0</v>
      </c>
      <c r="I1250" s="90" t="n">
        <v>19.8</v>
      </c>
    </row>
    <row r="1251">
      <c r="A1251" s="65" t="inlineStr">
        <is>
          <t>741106</t>
        </is>
      </c>
      <c r="B1251" s="68" t="inlineStr">
        <is>
          <t>전문, 과학 및 기술서비스업</t>
        </is>
      </c>
      <c r="C1251" s="68" t="inlineStr">
        <is>
          <t>전문 서비스업</t>
        </is>
      </c>
      <c r="D1251" s="68" t="inlineStr">
        <is>
          <t>법무관련 서비스업</t>
        </is>
      </c>
      <c r="E1251" s="68" t="inlineStr">
        <is>
          <t>기타 법무관련 서비스업(공증인)</t>
        </is>
      </c>
      <c r="F1251" s="68" t="inlineStr">
        <is>
          <t>◦공증인(고문료, 수당, 기타 이와 유사한 성질의 대가 포함)</t>
        </is>
      </c>
      <c r="G1251" s="90" t="n">
        <v>53.8</v>
      </c>
      <c r="H1251" s="90" t="n">
        <v>0</v>
      </c>
      <c r="I1251" s="90" t="n">
        <v>16.7</v>
      </c>
    </row>
    <row r="1252">
      <c r="A1252" s="65" t="inlineStr">
        <is>
          <t>741107</t>
        </is>
      </c>
      <c r="B1252" s="68" t="inlineStr">
        <is>
          <t>전문, 과학 및 기술서비스업</t>
        </is>
      </c>
      <c r="C1252" s="68" t="inlineStr">
        <is>
          <t>전문 서비스업</t>
        </is>
      </c>
      <c r="D1252" s="68" t="inlineStr">
        <is>
          <t>법무관련 서비스업</t>
        </is>
      </c>
      <c r="E1252" s="68" t="inlineStr">
        <is>
          <t>법무사업</t>
        </is>
      </c>
      <c r="F1252" s="68" t="inlineStr">
        <is>
          <t>◦변호사업을 제외하고, 사법기관에 제출하는 서류의 작성, 등기 및 공탁 등에 관한 수속 절차를 수행하는 산업활동을 말한다.
&lt;예 시&gt;
·법무사 사무
·등기관계 서류 작성 대행
·공탁 증서 작성 대행
·사법기관 제출 서류 대리 작성</t>
        </is>
      </c>
      <c r="G1252" s="90" t="n">
        <v>58.3</v>
      </c>
      <c r="H1252" s="90" t="n">
        <v>0</v>
      </c>
      <c r="I1252" s="90" t="n">
        <v>15.5</v>
      </c>
    </row>
    <row r="1253">
      <c r="A1253" s="65" t="inlineStr">
        <is>
          <t>741108</t>
        </is>
      </c>
      <c r="B1253" s="68" t="inlineStr">
        <is>
          <t>전문, 과학 및 기술서비스업</t>
        </is>
      </c>
      <c r="C1253" s="68" t="inlineStr">
        <is>
          <t>전문 서비스업</t>
        </is>
      </c>
      <c r="D1253" s="68" t="inlineStr">
        <is>
          <t>법무관련 서비스업</t>
        </is>
      </c>
      <c r="E1253" s="68" t="inlineStr">
        <is>
          <t>기타 법무관련 서비스업(집행관)</t>
        </is>
      </c>
      <c r="F1253" s="68" t="inlineStr">
        <is>
          <t>◦집행관(고문료, 수당, 기타 이와 유사한 성질의 대가포함)</t>
        </is>
      </c>
      <c r="G1253" s="90" t="n">
        <v>51.5</v>
      </c>
      <c r="H1253" s="90" t="n">
        <v>0</v>
      </c>
      <c r="I1253" s="90" t="n">
        <v>27.3</v>
      </c>
    </row>
    <row r="1254">
      <c r="A1254" s="65" t="inlineStr">
        <is>
          <t>741109</t>
        </is>
      </c>
      <c r="B1254" s="68" t="inlineStr">
        <is>
          <t>전문, 과학 및 기술서비스업</t>
        </is>
      </c>
      <c r="C1254" s="68" t="inlineStr">
        <is>
          <t>전문 서비스업</t>
        </is>
      </c>
      <c r="D1254" s="68" t="inlineStr">
        <is>
          <t>법무관련 서비스업</t>
        </is>
      </c>
      <c r="E1254" s="68" t="inlineStr">
        <is>
          <t>기타 법무관련 서비스업</t>
        </is>
      </c>
      <c r="F1254" s="68" t="inlineStr">
        <is>
          <t>◦행정사
&lt;예 시&gt;
·행정 서류 작성 대행
·여권 서류 작성 대행
·대서 사무(행정관련)</t>
        </is>
      </c>
      <c r="G1254" s="90" t="n">
        <v>66.09999999999999</v>
      </c>
      <c r="H1254" s="90" t="n">
        <v>0</v>
      </c>
      <c r="I1254" s="90" t="n">
        <v>18.1</v>
      </c>
    </row>
    <row r="1255">
      <c r="A1255" s="65" t="inlineStr">
        <is>
          <t>741110</t>
        </is>
      </c>
      <c r="B1255" s="68" t="inlineStr">
        <is>
          <t>전문, 과학 및 기술서비스업</t>
        </is>
      </c>
      <c r="C1255" s="68" t="inlineStr">
        <is>
          <t>전문 서비스업</t>
        </is>
      </c>
      <c r="D1255" s="68" t="inlineStr">
        <is>
          <t>법무관련 서비스업</t>
        </is>
      </c>
      <c r="E1255" s="68" t="inlineStr">
        <is>
          <t>기타 법무관련 서비스업(노무사)</t>
        </is>
      </c>
      <c r="F1255" s="68" t="inlineStr">
        <is>
          <t>◦공인노무사(고문료, 수당, 기타 이와 유사한 성질의 대가 포함)</t>
        </is>
      </c>
      <c r="G1255" s="90" t="n">
        <v>66.09999999999999</v>
      </c>
      <c r="H1255" s="90" t="n">
        <v>0</v>
      </c>
      <c r="I1255" s="90" t="n">
        <v>22.5</v>
      </c>
    </row>
    <row r="1256">
      <c r="A1256" s="65" t="inlineStr">
        <is>
          <t>741114</t>
        </is>
      </c>
      <c r="B1256" s="68" t="inlineStr">
        <is>
          <t>전문, 과학 및 기술서비스업</t>
        </is>
      </c>
      <c r="C1256" s="68" t="inlineStr">
        <is>
          <t>전문 서비스업</t>
        </is>
      </c>
      <c r="D1256" s="68" t="inlineStr">
        <is>
          <t>법무관련 서비스업</t>
        </is>
      </c>
      <c r="E1256" s="68" t="inlineStr">
        <is>
          <t>기타 법무관련 서비스업</t>
        </is>
      </c>
      <c r="F1256" s="68" t="inlineStr">
        <is>
          <t>◦의뢰인을 대리하여 행정기관 및 공공기관 등에 제출하는 행정 서류 및 법적 규정관련 서류의 작성을 대리하는 산업활동을 말한다.
&lt;제 외&gt;
·편지 및 일반 문서 작성 대행(749905)
*공증인(→741106)                       *집행관(→741108)
*행정사(→741109)                       *공인노무사(→741110)</t>
        </is>
      </c>
      <c r="G1256" s="90" t="n">
        <v>72.7</v>
      </c>
      <c r="H1256" s="90" t="n">
        <v>0</v>
      </c>
      <c r="I1256" s="90" t="n">
        <v>13.5</v>
      </c>
    </row>
    <row r="1257">
      <c r="A1257" s="65" t="inlineStr">
        <is>
          <t>741201</t>
        </is>
      </c>
      <c r="B1257" s="68" t="inlineStr">
        <is>
          <t>전문, 과학 및 기술서비스업</t>
        </is>
      </c>
      <c r="C1257" s="68" t="inlineStr">
        <is>
          <t>전문 서비스업</t>
        </is>
      </c>
      <c r="D1257" s="68" t="inlineStr">
        <is>
          <t>회계 및 세무관련 서비스업</t>
        </is>
      </c>
      <c r="E1257" s="68" t="inlineStr">
        <is>
          <t>세무사업</t>
        </is>
      </c>
      <c r="F1257" s="68" t="inlineStr">
        <is>
          <t>◦조세에 관한 신고◦청구 등의 대리, 세무관련 서류의 작성, 세무 상담 및 자문 등을 수행하는 세무사의 산업활동을 말한다.
&lt;제 외&gt;
*세무사의 기장대리 보수(→741203)</t>
        </is>
      </c>
      <c r="G1257" s="90" t="n">
        <v>58.2</v>
      </c>
      <c r="H1257" s="90" t="n">
        <v>0</v>
      </c>
      <c r="I1257" s="90" t="n">
        <v>23</v>
      </c>
    </row>
    <row r="1258">
      <c r="A1258" s="65" t="inlineStr">
        <is>
          <t>741202</t>
        </is>
      </c>
      <c r="B1258" s="68" t="inlineStr">
        <is>
          <t>전문, 과학 및 기술서비스업</t>
        </is>
      </c>
      <c r="C1258" s="68" t="inlineStr">
        <is>
          <t>전문 서비스업</t>
        </is>
      </c>
      <c r="D1258" s="68" t="inlineStr">
        <is>
          <t>회계 및 세무관련 서비스업</t>
        </is>
      </c>
      <c r="E1258" s="68" t="inlineStr">
        <is>
          <t>공인회계사업</t>
        </is>
      </c>
      <c r="F1258" s="68" t="inlineStr">
        <is>
          <t>◦재무 회계 서류의 작성, 감사, 조사 및 조정 등을 수행하는 공인회계사의 산업활동을 말한다.
&lt;제 외&gt;
*공인회계사의 기장대리 보수(→741204)</t>
        </is>
      </c>
      <c r="G1258" s="90" t="n">
        <v>58.2</v>
      </c>
      <c r="H1258" s="90" t="n">
        <v>0</v>
      </c>
      <c r="I1258" s="90" t="n">
        <v>23</v>
      </c>
    </row>
    <row r="1259">
      <c r="A1259" s="65" t="inlineStr">
        <is>
          <t>741203</t>
        </is>
      </c>
      <c r="B1259" s="68" t="inlineStr">
        <is>
          <t>전문, 과학 및 기술서비스업</t>
        </is>
      </c>
      <c r="C1259" s="68" t="inlineStr">
        <is>
          <t>전문 서비스업</t>
        </is>
      </c>
      <c r="D1259" s="68" t="inlineStr">
        <is>
          <t>회계 및 세무관련 서비스업</t>
        </is>
      </c>
      <c r="E1259" s="68" t="inlineStr">
        <is>
          <t>세무사업(기장대리), 기타 회계 관련 서비스업</t>
        </is>
      </c>
      <c r="F1259" s="68" t="inlineStr">
        <is>
          <t>◦세무사의 기장대리 보수
◦세무사를 제외한 회계 관련 사무 전문인에 의하여 회계 장부의 기장 및 계산 등 회계 서비스를 제공하는 산업활동을 말한다.
·회계 기장 대리 및 상담                          ·부기 전문 사무 대리</t>
        </is>
      </c>
      <c r="G1259" s="90" t="n">
        <v>72.90000000000001</v>
      </c>
      <c r="H1259" s="90" t="n">
        <v>0</v>
      </c>
      <c r="I1259" s="90" t="n">
        <v>23</v>
      </c>
    </row>
    <row r="1260">
      <c r="A1260" s="65" t="inlineStr">
        <is>
          <t>741204</t>
        </is>
      </c>
      <c r="B1260" s="68" t="inlineStr">
        <is>
          <t>전문, 과학 및 기술서비스업</t>
        </is>
      </c>
      <c r="C1260" s="68" t="inlineStr">
        <is>
          <t>전문 서비스업</t>
        </is>
      </c>
      <c r="D1260" s="68" t="inlineStr">
        <is>
          <t>회계 및 세무관련 서비스업</t>
        </is>
      </c>
      <c r="E1260" s="68" t="inlineStr">
        <is>
          <t>공인회계사업(기장대리), 기타 회계 관련 서비스업</t>
        </is>
      </c>
      <c r="F1260" s="68" t="inlineStr">
        <is>
          <t>◦공인회계사의 기장대리 보수
◦공인회계사를 제외한 회계 관련 사무 전문인에 의하여 회계 장부의 기장 및 계산 등 회계 서비스를 제공하는 산업활동을 말한다.
·회계 기장 대리 및 상담                          ·부기 전문 사무 대리</t>
        </is>
      </c>
      <c r="G1260" s="90" t="n">
        <v>72.90000000000001</v>
      </c>
      <c r="H1260" s="90" t="n">
        <v>0</v>
      </c>
      <c r="I1260" s="90" t="n">
        <v>23</v>
      </c>
    </row>
    <row r="1261">
      <c r="A1261" s="65" t="inlineStr">
        <is>
          <t>741300</t>
        </is>
      </c>
      <c r="B1261" s="68" t="inlineStr">
        <is>
          <t>전문, 과학 및 기술서비스업</t>
        </is>
      </c>
      <c r="C1261" s="68" t="inlineStr">
        <is>
          <t>전문 서비스업</t>
        </is>
      </c>
      <c r="D1261" s="68" t="inlineStr">
        <is>
          <t>시장 조사 및 여론 조사업</t>
        </is>
      </c>
      <c r="E1261" s="68" t="inlineStr">
        <is>
          <t>시장 조사 및 여론 조사업</t>
        </is>
      </c>
      <c r="F1261" s="68" t="inlineStr">
        <is>
          <t>◦시장 및 여론에 관한 자료를 체계적으로 수집, 제표 및 분석하는 산업활동을 말한다.
&lt;예 시&gt;
·여론 조사
·소비·구매 습관 조사
·상품 인기도 조사
·상품의 시장 잠재력 조사
·설문지조사</t>
        </is>
      </c>
      <c r="G1261" s="90" t="n">
        <v>78.8</v>
      </c>
      <c r="H1261" s="90" t="n">
        <v>0</v>
      </c>
      <c r="I1261" s="90" t="n">
        <v>26.4</v>
      </c>
    </row>
    <row r="1262">
      <c r="A1262" s="65" t="inlineStr">
        <is>
          <t>741400</t>
        </is>
      </c>
      <c r="B1262" s="68" t="inlineStr">
        <is>
          <t>전문, 과학 및 기술서비스업</t>
        </is>
      </c>
      <c r="C1262" s="68" t="inlineStr">
        <is>
          <t>전문 서비스업</t>
        </is>
      </c>
      <c r="D1262" s="68" t="inlineStr">
        <is>
          <t>경영 컨설팅 및 공공 관계 서비스업</t>
        </is>
      </c>
      <c r="E1262" s="68" t="inlineStr">
        <is>
          <t>경영 컨설팅업</t>
        </is>
      </c>
      <c r="F1262" s="68" t="inlineStr">
        <is>
          <t>◦다른 사업체에게 사업 경영 문제에 관하여 자문 및 지원하는 산업활동을 말한다.
&lt;예 시&gt;
·일반 경영 자문
·전략 기획 자문
·특정 부문 경영 자문
·시장 관리 자문
·생산 관리 자문
·재정 관리 자문
·인력 관리 자문
&lt;제 외&gt;
*경영지도사(→741401)</t>
        </is>
      </c>
      <c r="G1262" s="90" t="n">
        <v>77.3</v>
      </c>
      <c r="H1262" s="90" t="n">
        <v>0</v>
      </c>
      <c r="I1262" s="90" t="n">
        <v>25.7</v>
      </c>
    </row>
    <row r="1263">
      <c r="A1263" s="65" t="inlineStr">
        <is>
          <t>741401</t>
        </is>
      </c>
      <c r="B1263" s="68" t="inlineStr">
        <is>
          <t>전문, 과학 및 기술서비스업</t>
        </is>
      </c>
      <c r="C1263" s="68" t="inlineStr">
        <is>
          <t>전문 서비스업</t>
        </is>
      </c>
      <c r="D1263" s="68" t="inlineStr">
        <is>
          <t>경영 컨설팅 및 공공 관계 서비스업</t>
        </is>
      </c>
      <c r="E1263" s="68" t="inlineStr">
        <is>
          <t>경영 컨설팅업(경영지도사)</t>
        </is>
      </c>
      <c r="F1263" s="68" t="inlineStr">
        <is>
          <t>◦경영지도사 자격을 가진 자로서 경영의 종합 진단ㆍ지도, 컨설팅 등의 영업을 하는 업</t>
        </is>
      </c>
      <c r="G1263" s="90" t="n">
        <v>73.2</v>
      </c>
      <c r="H1263" s="90" t="n">
        <v>0</v>
      </c>
      <c r="I1263" s="90" t="n">
        <v>23.9</v>
      </c>
    </row>
    <row r="1264">
      <c r="A1264" s="65" t="inlineStr">
        <is>
          <t>741402</t>
        </is>
      </c>
      <c r="B1264" s="68" t="inlineStr">
        <is>
          <t>교육서비스업</t>
        </is>
      </c>
      <c r="C1264" s="68" t="inlineStr">
        <is>
          <t>교육 서비스업</t>
        </is>
      </c>
      <c r="D1264" s="68" t="inlineStr">
        <is>
          <t>직원 훈련기관</t>
        </is>
      </c>
      <c r="E1264" s="68" t="inlineStr">
        <is>
          <t>직원 훈련기관</t>
        </is>
      </c>
      <c r="F1264" s="68" t="inlineStr">
        <is>
          <t>◦정부기관, 공공 단체, 사업체 등에서 직원의 직업훈련을 위해 설립한 훈련기관을 말한다. 이 기관에서는 직원이 아닌 사람들도 교육시킬 수 있다. 교육은 훈련시설뿐만 아니라, 교육생이 있는 시설에서도 이루어질 수 있다.
&lt;예 시&gt;
·공무원 훈련원
·기업 직원훈련시설</t>
        </is>
      </c>
      <c r="G1264" s="90" t="n">
        <v>85.2</v>
      </c>
      <c r="H1264" s="90" t="n">
        <v>0</v>
      </c>
      <c r="I1264" s="90" t="n">
        <v>25.9</v>
      </c>
    </row>
    <row r="1265">
      <c r="A1265" s="65" t="inlineStr">
        <is>
          <t>741403</t>
        </is>
      </c>
      <c r="B1265" s="68" t="inlineStr">
        <is>
          <t>전문, 과학 및 기술서비스업</t>
        </is>
      </c>
      <c r="C1265" s="68" t="inlineStr">
        <is>
          <t>전문 서비스업</t>
        </is>
      </c>
      <c r="D1265" s="68" t="inlineStr">
        <is>
          <t>경영 컨설팅 및 공공 관계 서비스업</t>
        </is>
      </c>
      <c r="E1265" s="68" t="inlineStr">
        <is>
          <t>공공관계 서비스업</t>
        </is>
      </c>
      <c r="F1265" s="68" t="inlineStr">
        <is>
          <t>◦의뢰인이 일반 대중, 정부, 유권자 및 주주 등과의 관계 및 이미지를 개선하도록 자문 및 지침을 제공하는 산업활동을 말한다.
&lt;예 시&gt;
·공공관계(PR) 자문
·홍보 서비스
·로비 활동
·정치 자문
&lt;제 외&gt;
·변호사의 중재 활동(741101)
·정부기관의 노동 관련 중재 활동(842211)</t>
        </is>
      </c>
      <c r="G1265" s="90" t="n">
        <v>77.8</v>
      </c>
      <c r="H1265" s="90" t="n">
        <v>0</v>
      </c>
      <c r="I1265" s="90" t="n">
        <v>28.4</v>
      </c>
    </row>
    <row r="1266">
      <c r="A1266" s="65" t="inlineStr">
        <is>
          <t>742101</t>
        </is>
      </c>
      <c r="B1266" s="68" t="inlineStr">
        <is>
          <t>전문, 과학 및 기술서비스업</t>
        </is>
      </c>
      <c r="C1266" s="68" t="inlineStr">
        <is>
          <t>건축 기술, 엔지니어링 및 기타 과학기술 서비스업</t>
        </is>
      </c>
      <c r="D1266" s="68" t="inlineStr">
        <is>
          <t>측량, 지질 조사 및 지도 제작업</t>
        </is>
      </c>
      <c r="E1266" s="68" t="inlineStr">
        <is>
          <t>측량업</t>
        </is>
      </c>
      <c r="F1266" s="68" t="inlineStr">
        <is>
          <t>◦건축 또는 지도 제작 등에 관련된 토지, 도로, 수로 등을 측량하는 산업활동을 말한다.
&lt;예 시&gt;
·지형 측량 서비스
·수로 측량 서비스
·항공 측량 서비스
&lt;제 외&gt;
·지질 조사 및 탐사에 관련된 지표면 측정과 관찰 조사(742113)
·측량 활동의 결합 여부를 불문한 지도 제작 활동(742102)</t>
        </is>
      </c>
      <c r="G1266" s="90" t="n">
        <v>72.3</v>
      </c>
      <c r="H1266" s="90" t="n">
        <v>0</v>
      </c>
      <c r="I1266" s="90" t="n">
        <v>23.5</v>
      </c>
    </row>
    <row r="1267">
      <c r="A1267" s="65" t="inlineStr">
        <is>
          <t>742102</t>
        </is>
      </c>
      <c r="B1267" s="68" t="inlineStr">
        <is>
          <t>전문, 과학 및 기술서비스업</t>
        </is>
      </c>
      <c r="C1267" s="68" t="inlineStr">
        <is>
          <t>건축 기술, 엔지니어링 및 기타 과학기술 서비스업</t>
        </is>
      </c>
      <c r="D1267" s="68" t="inlineStr">
        <is>
          <t>측량, 지질 조사 및 지도 제작업</t>
        </is>
      </c>
      <c r="E1267" s="68" t="inlineStr">
        <is>
          <t>지질 조사·탐사 및 지도 제작업</t>
        </is>
      </c>
      <c r="F1267" s="68" t="inlineStr">
        <is>
          <t>◦지상의 지형 지물에 대한 정보를 얻기 위한 항공사진 측량과 경도 및 위도와 좌표를 구하기 위한 지상 기준점 측량을 실시하고 수치도화한 후 지리 조사, 보완 측량 및 편집 과정을 거쳐 각종의 지도를 제작하거나 수정하는 산업활동을 말한다. 직접 제작한 지도를 인쇄물 또는 전자적 방법으로 제공하는 산업활동도 포함한다.
&lt;예 시&gt;
·지도 제작
·해도 제작
·교통 지도 제작
·군사 지도 제작
·관광 지도 제작
·수치 지도 제작
&lt;제 외&gt;
·지도 제작 과정 없이 계약에 의하여 출판하는 경우(221100)
·지도를 제작하지 않고 계약에 의하여 온라인으로 제공하는 경우(724000)</t>
        </is>
      </c>
      <c r="G1267" s="90" t="n">
        <v>74.2</v>
      </c>
      <c r="H1267" s="90" t="n">
        <v>0</v>
      </c>
      <c r="I1267" s="90" t="n">
        <v>20.6</v>
      </c>
    </row>
    <row r="1268">
      <c r="A1268" s="65" t="inlineStr">
        <is>
          <t>742103</t>
        </is>
      </c>
      <c r="B1268" s="68" t="inlineStr">
        <is>
          <t>전문, 과학 및 기술서비스업</t>
        </is>
      </c>
      <c r="C1268" s="68" t="inlineStr">
        <is>
          <t>건축 기술, 엔지니어링 및 기타 과학기술 서비스업</t>
        </is>
      </c>
      <c r="D1268" s="68" t="inlineStr">
        <is>
          <t>건축 및 조경 설계 서비스업</t>
        </is>
      </c>
      <c r="E1268" s="68" t="inlineStr">
        <is>
          <t>건축 설계 및 관련 서비스업</t>
        </is>
      </c>
      <c r="F1268" s="68" t="inlineStr">
        <is>
          <t>◦건축 설계, 건설 공정, 건축 법규 및 건설 자재 등에 관한 지식을 이용하여 각종 건물 또는 구축물의 기획 및 설계를 수행하는 산업활동을 말한다.
&lt;예 시&gt;
·건축 상담
·건물 건축 설계관련 서비스
&lt;제 외&gt;
·건물 및 토목공사 관련 엔지니어링 서비스(742109)
*건축사(→742105)</t>
        </is>
      </c>
      <c r="G1268" s="90" t="n">
        <v>74.40000000000001</v>
      </c>
      <c r="H1268" s="90" t="n">
        <v>0</v>
      </c>
      <c r="I1268" s="90" t="n">
        <v>23.3</v>
      </c>
    </row>
    <row r="1269">
      <c r="A1269" s="65" t="inlineStr">
        <is>
          <t>742104</t>
        </is>
      </c>
      <c r="B1269" s="68" t="inlineStr">
        <is>
          <t>전문, 과학 및 기술서비스업</t>
        </is>
      </c>
      <c r="C1269" s="68" t="inlineStr">
        <is>
          <t>건축 기술, 엔지니어링 및 기타 과학기술 서비스업</t>
        </is>
      </c>
      <c r="D1269" s="68" t="inlineStr">
        <is>
          <t>엔지니어링 서비스업</t>
        </is>
      </c>
      <c r="E1269" s="68" t="inlineStr">
        <is>
          <t>기타 엔지니어링 서비스업</t>
        </is>
      </c>
      <c r="F1269" s="68" t="inlineStr">
        <is>
          <t>◦기계, 전기, 전자, 해양, 교통 부문 등과 관련한 엔지니어링 서비스를 제공하는 산업활동을 말한다.
&lt;예 시&gt;
·기계 엔지니어링
·전기 엔지니어링
·전자 엔지니어링
·지질 엔지니어링
·해양 엔지니어링
·교통 시스템 엔지니어링
·항행용 선박 설계
&lt;제 외&gt;
·환경 복원(토양, 수질, 대기) 서비스(372002, 372003)</t>
        </is>
      </c>
      <c r="G1269" s="90" t="n">
        <v>76.3</v>
      </c>
      <c r="H1269" s="90" t="n">
        <v>0</v>
      </c>
      <c r="I1269" s="90" t="n">
        <v>19.8</v>
      </c>
    </row>
    <row r="1270">
      <c r="A1270" s="65" t="inlineStr">
        <is>
          <t>742105</t>
        </is>
      </c>
      <c r="B1270" s="68" t="inlineStr">
        <is>
          <t>전문, 과학 및 기술서비스업</t>
        </is>
      </c>
      <c r="C1270" s="68" t="inlineStr">
        <is>
          <t>건축 기술, 엔지니어링 및 기타 과학기술 서비스업</t>
        </is>
      </c>
      <c r="D1270" s="68" t="inlineStr">
        <is>
          <t>건축 및 조경 설계 서비스업</t>
        </is>
      </c>
      <c r="E1270" s="68" t="inlineStr">
        <is>
          <t>건축 설계 및 관련 서비스업(건축사)</t>
        </is>
      </c>
      <c r="F1270" s="68" t="inlineStr">
        <is>
          <t>◦건축사(건축사자격을 가진 자로서 건축물의 설계 또는 공사감리의 업무를 행하는 업)
&lt;예 시&gt;
·감리업, 건축설계, 설계도작성</t>
        </is>
      </c>
      <c r="G1270" s="90" t="n">
        <v>73.59999999999999</v>
      </c>
      <c r="H1270" s="90" t="n">
        <v>0</v>
      </c>
      <c r="I1270" s="90" t="n">
        <v>21</v>
      </c>
    </row>
    <row r="1271">
      <c r="A1271" s="65" t="inlineStr">
        <is>
          <t>742106</t>
        </is>
      </c>
      <c r="B1271" s="68" t="inlineStr">
        <is>
          <t>전문, 과학 및 기술서비스업</t>
        </is>
      </c>
      <c r="C1271" s="68" t="inlineStr">
        <is>
          <t>건축 기술, 엔지니어링 및 기타 과학기술 서비스업</t>
        </is>
      </c>
      <c r="D1271" s="68" t="inlineStr">
        <is>
          <t>엔지니어링 서비스업</t>
        </is>
      </c>
      <c r="E1271" s="68" t="inlineStr">
        <is>
          <t>건물 및 토목 엔지니어링 서비스업(기술사)</t>
        </is>
      </c>
      <c r="F1271" s="68" t="inlineStr">
        <is>
          <t>◦기술사(「국가기술자격법」에 따라 기술사의 자격을 취득하고, 교육과학기술부에 등록한 자로서 과학기술에 관한 전문적 응용능력을 필요로 하는 사항에 대하여 계획ㆍ연구ㆍ설계ㆍ분석ㆍ조사ㆍ시험ㆍ시공ㆍ감리ㆍ평가ㆍ진단ㆍ사업관리ㆍ기술판단ㆍ기술중재를 하고, 이에 관한 기술자문과 기술지도를 하는 업)</t>
        </is>
      </c>
      <c r="G1271" s="90" t="n">
        <v>77.40000000000001</v>
      </c>
      <c r="H1271" s="90" t="n">
        <v>0</v>
      </c>
      <c r="I1271" s="90" t="n">
        <v>30.2</v>
      </c>
    </row>
    <row r="1272">
      <c r="A1272" s="65" t="inlineStr">
        <is>
          <t>742107</t>
        </is>
      </c>
      <c r="B1272" s="68" t="inlineStr">
        <is>
          <t>전문, 과학 및 기술서비스업</t>
        </is>
      </c>
      <c r="C1272" s="68" t="inlineStr">
        <is>
          <t>건축 기술, 엔지니어링 및 기타 과학기술 서비스업</t>
        </is>
      </c>
      <c r="D1272" s="68" t="inlineStr">
        <is>
          <t>건축 및 조경 설계 서비스업</t>
        </is>
      </c>
      <c r="E1272" s="68" t="inlineStr">
        <is>
          <t>도시 계획 및 조경 설계 서비스업</t>
        </is>
      </c>
      <c r="F1272" s="68" t="inlineStr">
        <is>
          <t>◦공원 및 기타 휴양 지역, 공항, 고속도로, 병원, 학교, 분양 토지, 상업◦산업◦거주 지역 등의 개발을 계획 및 설계하는 산업활동을 말한다. 이를 위하여 토지, 건물 및 구축물의 배치, 토지 활용, 조경 설계 등의 지식을 이용한다. 조경과 관련한 환경 디자인도 포함한다.
&lt;예 시&gt;
·정원 설계
·산업용 토지 이용 설계
·골프장 또는 스키장 설계
·조경 및 경관(익스테리어) 디자인
·국토 개발 및 토지 이용 계획 설계</t>
        </is>
      </c>
      <c r="G1272" s="90" t="n">
        <v>76</v>
      </c>
      <c r="H1272" s="90" t="n">
        <v>0</v>
      </c>
      <c r="I1272" s="90" t="n">
        <v>23.9</v>
      </c>
    </row>
    <row r="1273">
      <c r="A1273" s="65" t="inlineStr">
        <is>
          <t>742108</t>
        </is>
      </c>
      <c r="B1273" s="68" t="inlineStr">
        <is>
          <t>전문, 과학 및 기술서비스업</t>
        </is>
      </c>
      <c r="C1273" s="68" t="inlineStr">
        <is>
          <t>건축 기술, 엔지니어링 및 기타 과학기술 서비스업</t>
        </is>
      </c>
      <c r="D1273" s="68" t="inlineStr">
        <is>
          <t>측량, 지질 조사 및 지도 제작업</t>
        </is>
      </c>
      <c r="E1273" s="68" t="inlineStr">
        <is>
          <t>제도업</t>
        </is>
      </c>
      <c r="F1273" s="68" t="inlineStr">
        <is>
          <t>◦엔지니어링 및 건축 관련 설계 명세서를 기초로 건물, 구축물 및 시스템의 세밀한 설계 도면을 작성하는 산업활동을 말한다. 작성된 도면을 청사진 또는 전자 기록 매체 등으로 저장하는 활동을 병행하여 수행할 수 있다.
&lt;예 시&gt;
·엔지니어링 설계 제도
·건축 설계 제도
·청사진 제도
·설계 도면 작성</t>
        </is>
      </c>
      <c r="G1273" s="90" t="n">
        <v>72.3</v>
      </c>
      <c r="H1273" s="90" t="n">
        <v>0</v>
      </c>
      <c r="I1273" s="90" t="n">
        <v>26.3</v>
      </c>
    </row>
    <row r="1274">
      <c r="A1274" s="65" t="inlineStr">
        <is>
          <t>742109</t>
        </is>
      </c>
      <c r="B1274" s="68" t="inlineStr">
        <is>
          <t>전문, 과학 및 기술서비스업</t>
        </is>
      </c>
      <c r="C1274" s="68" t="inlineStr">
        <is>
          <t>건축 기술, 엔지니어링 및 기타 과학기술 서비스업</t>
        </is>
      </c>
      <c r="D1274" s="68" t="inlineStr">
        <is>
          <t>엔지니어링 서비스업</t>
        </is>
      </c>
      <c r="E1274" s="68" t="inlineStr">
        <is>
          <t>건물 및 토목 엔지니어링 서비스업</t>
        </is>
      </c>
      <c r="F1274" s="68" t="inlineStr">
        <is>
          <t>◦도로, 철도, 교량, 터널, 항만, 댐, 상◦하수도 시스템, 통신 및 전력선, 옥외 운동장 및 휴양시설, 산업 시스템 등의 토목 건설에 관련된 엔지니어링 서비스를 제공하는 산업활동을 말한다. 건물에 대한 엔지니어링 서비스도 포함한다.
&lt;예 시&gt;
·토목 공학설계
·토목공사 사업관리
·토목공사 프로젝트 대행
·건물 엔지니어링 서비스
&lt;제 외&gt;
·건물 건축 설계관련 서비스(742103)
·건축사(742105)
·조경설계 서비스(742107)
*기술사(→742106)</t>
        </is>
      </c>
      <c r="G1274" s="90" t="n">
        <v>76.3</v>
      </c>
      <c r="H1274" s="90" t="n">
        <v>0</v>
      </c>
      <c r="I1274" s="90" t="n">
        <v>24.4</v>
      </c>
    </row>
    <row r="1275">
      <c r="A1275" s="65" t="inlineStr">
        <is>
          <t>742110</t>
        </is>
      </c>
      <c r="B1275" s="68" t="inlineStr">
        <is>
          <t>전문, 과학 및 기술서비스업</t>
        </is>
      </c>
      <c r="C1275" s="68" t="inlineStr">
        <is>
          <t>건축 기술, 엔지니어링 및 기타 과학기술 서비스업</t>
        </is>
      </c>
      <c r="D1275" s="68" t="inlineStr">
        <is>
          <t>엔지니어링 서비스업</t>
        </is>
      </c>
      <c r="E1275" s="68" t="inlineStr">
        <is>
          <t>환경 관련 엔지니어링 서비스업</t>
        </is>
      </c>
      <c r="F1275" s="68" t="inlineStr">
        <is>
          <t>◦대기ㆍ수질◦소음◦진동◦폐기물 처리 등 환경과 관련된 엔지니어링 서비스를 제공하는 산업활동을 말한다. 환경과 관련한 문제를 종합적으로 검사, 측정 및 평가하고 대안을 제시하는 컨설팅 활동도 포함한다.
&lt;예 시&gt;
·환경 및 폐기물 처리시설 엔지니어링
·대기 관리, 수질 관리, 소음ㆍ진동 관리 시설물 엔지니어링
·기타 자연 및 토양 환경 관련 엔지니어링
·환경 영향 평가
·환경 부지 평가
&lt;제 외&gt;
·환경 복원(토양, 수질, 대기) 서비스(372002, 372003)
·환경 요인 및 오염 측정 서비스(742203)</t>
        </is>
      </c>
      <c r="G1275" s="90" t="n">
        <v>76.3</v>
      </c>
      <c r="H1275" s="90" t="n">
        <v>0</v>
      </c>
      <c r="I1275" s="90" t="n">
        <v>19.9</v>
      </c>
    </row>
    <row r="1276">
      <c r="A1276" s="65" t="inlineStr">
        <is>
          <t>742113</t>
        </is>
      </c>
      <c r="B1276" s="68" t="inlineStr">
        <is>
          <t>전문, 과학 및 기술서비스업</t>
        </is>
      </c>
      <c r="C1276" s="68" t="inlineStr">
        <is>
          <t>건축 기술, 엔지니어링 및 기타 과학기술 서비스업</t>
        </is>
      </c>
      <c r="D1276" s="68" t="inlineStr">
        <is>
          <t>측량, 지질 조사 및 지도 제작업</t>
        </is>
      </c>
      <c r="E1276" s="68" t="inlineStr">
        <is>
          <t>지질 조사·탐사 및 지도 제작업</t>
        </is>
      </c>
      <c r="F1276" s="68" t="inlineStr">
        <is>
          <t>◦지질 조사, 지구 물리학적 조사 및 탐사 서비스를 제공하는 산업활동을 말한다. 지질 조사 및 탐사와 관련하여 수행하는 측량활동도 포함하며, 광물을 채굴하기 위한 광물 탐사활동은 광업으로 분류한다.
&lt;예 시&gt;
·지질 조사
·지질 조사 관련 측량
·지구 물리학적 탐사 및 개발</t>
        </is>
      </c>
      <c r="G1276" s="90" t="n">
        <v>76.3</v>
      </c>
      <c r="H1276" s="90" t="n">
        <v>0</v>
      </c>
      <c r="I1276" s="90" t="n">
        <v>19.9</v>
      </c>
    </row>
    <row r="1277">
      <c r="A1277" s="65" t="inlineStr">
        <is>
          <t>742201</t>
        </is>
      </c>
      <c r="B1277" s="68" t="inlineStr">
        <is>
          <t>전문, 과학 및 기술서비스업</t>
        </is>
      </c>
      <c r="C1277" s="68" t="inlineStr">
        <is>
          <t>건축 기술, 엔지니어링 및 기타 과학기술 서비스업</t>
        </is>
      </c>
      <c r="D1277" s="68" t="inlineStr">
        <is>
          <t>기술 시험, 검사 및 분석업</t>
        </is>
      </c>
      <c r="E1277" s="68" t="inlineStr">
        <is>
          <t>기타 기술 시험, 검사 및 분석업</t>
        </is>
      </c>
      <c r="F1277" s="68" t="inlineStr">
        <is>
          <t>◦금속, 플라스틱, 목재, 유리, 콘크리트 등의 물질에 대한 강도, 유연성, 전기 전도성, 장력, 내구력, 내화력과 같은 물질의 특성을 시험하는 활동: 기계류, 도구류, 자동차 등의 제품에 대한 성능 및 안전성을 시험 또는 검사하는 활동: 선박, 항공기, 댐, 용접 등의 결함 및 안전성을 검사하기 위한 X선, 자기, 초음속 시험 등의 검사서비스를 제공하는 산업활동을 말한다. 이러한 검사는 주로 실물 또는 모형을 이용하거나 비파괴 검사 방식에 의하여 수행한다.
&lt;예 시&gt;
·자동차 품질 검사
·댐 검사
·장비 종합 검사
·비파괴 검사
·용접 검사
·기계 및 구조물의 초음파 검사
&lt;제 외&gt;
·차량의 수리 및 유지 서비스(922201~922204)
*기술지도사(→742202)</t>
        </is>
      </c>
      <c r="G1277" s="90" t="n">
        <v>76</v>
      </c>
      <c r="H1277" s="90" t="n">
        <v>0</v>
      </c>
      <c r="I1277" s="90" t="n">
        <v>24</v>
      </c>
    </row>
    <row r="1278">
      <c r="A1278" s="65" t="inlineStr">
        <is>
          <t>742202</t>
        </is>
      </c>
      <c r="B1278" s="68" t="inlineStr">
        <is>
          <t>전문, 과학 및 기술서비스업</t>
        </is>
      </c>
      <c r="C1278" s="68" t="inlineStr">
        <is>
          <t>건축 기술, 엔지니어링 및 기타 과학기술 서비스업</t>
        </is>
      </c>
      <c r="D1278" s="68" t="inlineStr">
        <is>
          <t>기술 시험, 검사 및 분석업</t>
        </is>
      </c>
      <c r="E1278" s="68" t="inlineStr">
        <is>
          <t>기타 기술 시험, 검사 및 분석업(기술지도사)</t>
        </is>
      </c>
      <c r="F1278" s="68" t="inlineStr">
        <is>
          <t>◦기술지도사(기술지도사 자격을 가진 자로서 생산현장에서 제품생산에 관계되는 기술의 종합 진단ㆍ지도, 컨설팅 등의 영업을 하는 업 )</t>
        </is>
      </c>
      <c r="G1278" s="90" t="n">
        <v>80.2</v>
      </c>
      <c r="H1278" s="90" t="n">
        <v>0</v>
      </c>
      <c r="I1278" s="90" t="n">
        <v>28.8</v>
      </c>
    </row>
    <row r="1279">
      <c r="A1279" s="65" t="inlineStr">
        <is>
          <t>742203</t>
        </is>
      </c>
      <c r="B1279" s="68" t="inlineStr">
        <is>
          <t>전문, 과학 및 기술서비스업</t>
        </is>
      </c>
      <c r="C1279" s="68" t="inlineStr">
        <is>
          <t>건축 기술, 엔지니어링 및 기타 과학기술 서비스업</t>
        </is>
      </c>
      <c r="D1279" s="68" t="inlineStr">
        <is>
          <t>기술 시험, 검사 및 분석업</t>
        </is>
      </c>
      <c r="E1279" s="68" t="inlineStr">
        <is>
          <t>물질 성분 검사 및 분석업</t>
        </is>
      </c>
      <c r="F1279" s="68" t="inlineStr">
        <is>
          <t>◦공기, 물, 폐기물, 연료, 금속, 토양, 광물, 식품 및 화학 물질 등과 같은 각종 물질의 순도, 성분 및 성질을 검사하거나 분석하는 산업활동을 말한다.
&lt;예 시&gt;
·식품 검사
·화학물 성분 검사
·환경 요인 측정·분석
·대기 오염 측정·분석
·금속 등 광물의 물리적 성질 분석
·미생물 성분 분석
·목재의 물리적 성질 분석 
·수질 자동 측정·분석
&lt;제 외&gt;
·물품 감정(749912)</t>
        </is>
      </c>
      <c r="G1279" s="90" t="n">
        <v>76</v>
      </c>
      <c r="H1279" s="90" t="n">
        <v>0</v>
      </c>
      <c r="I1279" s="90" t="n">
        <v>24.8</v>
      </c>
    </row>
    <row r="1280">
      <c r="A1280" s="65" t="inlineStr">
        <is>
          <t>743001</t>
        </is>
      </c>
      <c r="B1280" s="68" t="inlineStr">
        <is>
          <t>전문, 과학 및 기술서비스업</t>
        </is>
      </c>
      <c r="C1280" s="68" t="inlineStr">
        <is>
          <t>전문 서비스업</t>
        </is>
      </c>
      <c r="D1280" s="68" t="inlineStr">
        <is>
          <t>기타 광고업</t>
        </is>
      </c>
      <c r="E1280" s="68" t="inlineStr">
        <is>
          <t>옥외 광고업</t>
        </is>
      </c>
      <c r="F1280" s="68" t="inlineStr">
        <is>
          <t>◦인쇄, 그림 또는 전자적 방식 등의 전시 광고물을 기획․제작하여 옥내․외 간판 또는 차량, 상점 등 전시 공간에 전시 구조물을 게시하는 산업활동을 말한다. 광고용 설치물(광고탑 등)을 임대하는 활동도 포함한다.
&lt;예 시&gt;
·옥외 광고
·차량 간판 광고
·가게 전시물 광고
·전광판 방송 광고
·전철 간판 광고
·광고탑 임대
&lt;제 외&gt;
·비전기식 옥외 광고물 제조(369503)
·옥외 광고용 구조물 설치(해당 건설 산업활동으로 분류)</t>
        </is>
      </c>
      <c r="G1280" s="90" t="n">
        <v>79.90000000000001</v>
      </c>
      <c r="H1280" s="90" t="n">
        <v>0</v>
      </c>
      <c r="I1280" s="90" t="n">
        <v>17.4</v>
      </c>
    </row>
    <row r="1281">
      <c r="A1281" s="65" t="inlineStr">
        <is>
          <t>743002</t>
        </is>
      </c>
      <c r="B1281" s="68" t="inlineStr">
        <is>
          <t>전문, 과학 및 기술서비스업</t>
        </is>
      </c>
      <c r="C1281" s="68" t="inlineStr">
        <is>
          <t>전문 서비스업</t>
        </is>
      </c>
      <c r="D1281" s="68" t="inlineStr">
        <is>
          <t>광고 대행업</t>
        </is>
      </c>
      <c r="E1281" s="68" t="inlineStr">
        <is>
          <t>광고 대행업</t>
        </is>
      </c>
      <c r="F1281" s="68" t="inlineStr">
        <is>
          <t>◦광고주를 대리하여 광고에 관련된 시장 조사 및 광고 기획, 광고물 제작, 매체 선택, 매체와의 광고 계약, 광고물을 라디오, 텔레비전, 인터넷, 정기 간행물, 신문 등의 광고 매체에 광고하는 업무를 총괄적으로 대행하는 산업활동을 말한다. 이 사업체는 광고주와의 포괄적인 계약으로 광고 대행 업무를 수행하며 이에 관련된 특정 업무를 자체 인력 또는 다른 업체에 의뢰하여 수행할 수 있다.
&lt;예 시&gt;
·라디오 광고 대행
·텔레비전 광고 대행
·신문 광고 대행
·인터넷 광고 대행</t>
        </is>
      </c>
      <c r="G1281" s="90" t="n">
        <v>79.3</v>
      </c>
      <c r="H1281" s="90" t="n">
        <v>0</v>
      </c>
      <c r="I1281" s="90" t="n">
        <v>22.1</v>
      </c>
    </row>
    <row r="1282">
      <c r="A1282" s="65" t="inlineStr">
        <is>
          <t>743003</t>
        </is>
      </c>
      <c r="B1282" s="68" t="inlineStr">
        <is>
          <t>전문, 과학 및 기술서비스업</t>
        </is>
      </c>
      <c r="C1282" s="68" t="inlineStr">
        <is>
          <t>전문 서비스업</t>
        </is>
      </c>
      <c r="D1282" s="68" t="inlineStr">
        <is>
          <t>기타 광고업</t>
        </is>
      </c>
      <c r="E1282" s="68" t="inlineStr">
        <is>
          <t>그 외 기타 광고 관련 서비스업</t>
        </is>
      </c>
      <c r="F1282" s="68" t="inlineStr">
        <is>
          <t>◦광고 매체(TV, 신문 등) 소유자를 대리하여 광고 시간 또는 지면을 판매하거나, 광고 매체로부터 광고 시간 또는 지면을 구입하여 광고대행사 또는 광고주에게 직접 재판매하는 산업활동을 말한다.
&lt;예 시&gt;
·신문사 광고 지면 판매 대리
·텔레비전 광고 시간 판매 대리</t>
        </is>
      </c>
      <c r="G1282" s="90" t="n">
        <v>81.5</v>
      </c>
      <c r="H1282" s="90" t="n">
        <v>0</v>
      </c>
      <c r="I1282" s="90" t="n">
        <v>40.9</v>
      </c>
    </row>
    <row r="1283">
      <c r="A1283" s="65" t="inlineStr">
        <is>
          <t>743004</t>
        </is>
      </c>
      <c r="B1283" s="68" t="inlineStr">
        <is>
          <t>전문, 과학 및 기술서비스업</t>
        </is>
      </c>
      <c r="C1283" s="68" t="inlineStr">
        <is>
          <t>전문 서비스업</t>
        </is>
      </c>
      <c r="D1283" s="68" t="inlineStr">
        <is>
          <t>기타 광고업</t>
        </is>
      </c>
      <c r="E1283" s="68" t="inlineStr">
        <is>
          <t>광고물 문안, 도안, 설계 등 작성업</t>
        </is>
      </c>
      <c r="F1283" s="68" t="inlineStr">
        <is>
          <t>◦광고주 또는 광고 대행업체와의 계약에 의하여 각종 광고물의 광고 문안 및 도안 작성, 광고물의 설계, 방송 광고물 제작을 위한 시나리오 작성 등 광고에 관련된 광고물의 작성을 전문적으로 대리하는 산업활동을 말한다.
&lt;제 외&gt;
·광고활동을 총괄적으로 대리하는 광고 대행업체에서 수행하는 광고물 작성(743002)</t>
        </is>
      </c>
      <c r="G1283" s="90" t="n">
        <v>81.40000000000001</v>
      </c>
      <c r="H1283" s="90" t="n">
        <v>0</v>
      </c>
      <c r="I1283" s="90" t="n">
        <v>19.8</v>
      </c>
    </row>
    <row r="1284">
      <c r="A1284" s="65" t="inlineStr">
        <is>
          <t>743005</t>
        </is>
      </c>
      <c r="B1284" s="68" t="inlineStr">
        <is>
          <t>전문, 과학 및 기술서비스업</t>
        </is>
      </c>
      <c r="C1284" s="68" t="inlineStr">
        <is>
          <t>전문 서비스업</t>
        </is>
      </c>
      <c r="D1284" s="68" t="inlineStr">
        <is>
          <t>기타 광고업</t>
        </is>
      </c>
      <c r="E1284" s="68" t="inlineStr">
        <is>
          <t>그 외 기타 광고 관련 서비스업</t>
        </is>
      </c>
      <c r="F1284" s="68" t="inlineStr">
        <is>
          <t>◦그 외 기타 광고 관련 서비스를 수행하는 산업활동을 말한다.
&lt;예 시&gt;
·광고물 배포
·광고용 명함, 인사장, 초대장 견본 배부 대리
·우편 광고물 배포
·광고용품 배포 대리</t>
        </is>
      </c>
      <c r="G1284" s="90" t="n">
        <v>79.3</v>
      </c>
      <c r="H1284" s="90" t="n">
        <v>0</v>
      </c>
      <c r="I1284" s="90" t="n">
        <v>22.7</v>
      </c>
    </row>
    <row r="1285">
      <c r="A1285" s="65" t="inlineStr">
        <is>
          <t>749100</t>
        </is>
      </c>
      <c r="B1285" s="68" t="inlineStr">
        <is>
          <t>사업시설 관리, 사업지원 및 임대 서비스업</t>
        </is>
      </c>
      <c r="C1285" s="68" t="inlineStr">
        <is>
          <t>사업지원 서비스업</t>
        </is>
      </c>
      <c r="D1285" s="68" t="inlineStr">
        <is>
          <t>고용 알선업</t>
        </is>
      </c>
      <c r="E1285" s="68" t="inlineStr">
        <is>
          <t>고용 알선업</t>
        </is>
      </c>
      <c r="F1285" s="68" t="inlineStr">
        <is>
          <t>◦고용주 또는 고용 알선업체의 직원이 아닌 구직자를 대리하여 일자리 및 구직자 정보를 기초로 인력을 선발, 알선 및 배치하는 산업활동을 말한다.
&lt;예 시&gt;
·사무 인력 알선
·제조업 노동 인력 알선
·개인 및 가사 인력 알선
·고급 인력 알선(헤드헌터)
·간호 인력 알선
·직업소개소
&lt;제 외&gt;
·영화 및 기타 공연을 위한 배역 서비스 활동(921405)</t>
        </is>
      </c>
      <c r="G1285" s="90" t="n">
        <v>84.09999999999999</v>
      </c>
      <c r="H1285" s="90" t="n">
        <v>0</v>
      </c>
      <c r="I1285" s="90" t="n">
        <v>17.9</v>
      </c>
    </row>
    <row r="1286">
      <c r="A1286" s="65" t="inlineStr">
        <is>
          <t>749101</t>
        </is>
      </c>
      <c r="B1286" s="68" t="inlineStr">
        <is>
          <t>사업시설 관리, 사업지원 및 임대 서비스업</t>
        </is>
      </c>
      <c r="C1286" s="68" t="inlineStr">
        <is>
          <t>사업지원 서비스업</t>
        </is>
      </c>
      <c r="D1286" s="68" t="inlineStr">
        <is>
          <t>인력 공급업</t>
        </is>
      </c>
      <c r="E1286" s="68" t="inlineStr">
        <is>
          <t>임시 및 일용 인력 공급업</t>
        </is>
      </c>
      <c r="F1286" s="68" t="inlineStr">
        <is>
          <t>◦자기관리 아래 있는 노동자를 계약에 의하여 타인 또는 타사업체에 단기간(1년 미만) 공급하는 산업활동을 말한다. 이 노동자들은 인력 공급업체의 직원이지만 고객 사업체의 지시 및 감독을 받아 업무를 수행한다.
&lt;예 시&gt;
·임시 및 일용 근로자 파견업
·단기 인력 파견업
·단기 개인 및 가사 인력 공급
·단기 간호 인력 공급
·모델 공급
·단기 산업 노동 인력 공급
·근로자 단기 파견업
·인력풀(pool) 공급 운영
·단기 사무 인력 공급
·연극, 영화 단역배우 공급 운영</t>
        </is>
      </c>
      <c r="G1286" s="90" t="n">
        <v>83.7</v>
      </c>
      <c r="H1286" s="90" t="n">
        <v>0</v>
      </c>
      <c r="I1286" s="90" t="n">
        <v>19.2</v>
      </c>
    </row>
    <row r="1287">
      <c r="A1287" s="65" t="inlineStr">
        <is>
          <t>749102</t>
        </is>
      </c>
      <c r="B1287" s="68" t="inlineStr">
        <is>
          <t>사업시설 관리, 사업지원 및 임대 서비스업</t>
        </is>
      </c>
      <c r="C1287" s="68" t="inlineStr">
        <is>
          <t>사업지원 서비스업</t>
        </is>
      </c>
      <c r="D1287" s="68" t="inlineStr">
        <is>
          <t>인력 공급업</t>
        </is>
      </c>
      <c r="E1287" s="68" t="inlineStr">
        <is>
          <t>상용 인력 공급 및 인사관리 서비스업</t>
        </is>
      </c>
      <c r="F1287" s="68" t="inlineStr">
        <is>
          <t>◦자기관리 아래 있는 노동자를 계약에 의하여 타인 또는 타사업체에 장기간(1년 이상) 공급하는 산업활동을 말한다. 이들 사업체는 파견 인력에 대한 인사관리 서비스를 수행할 수 있으나, 파견 인력은 고객 사업체의 지시 및 감독을 받아 업무를 수행한다.
&lt;예 시&gt;
·상용 근로자 파견 및 공급업</t>
        </is>
      </c>
      <c r="G1287" s="90" t="n">
        <v>83.7</v>
      </c>
      <c r="H1287" s="90" t="n">
        <v>0</v>
      </c>
      <c r="I1287" s="90" t="n">
        <v>17.5</v>
      </c>
    </row>
    <row r="1288">
      <c r="A1288" s="65" t="inlineStr">
        <is>
          <t>749200</t>
        </is>
      </c>
      <c r="B1288" s="68" t="inlineStr">
        <is>
          <t>사업시설 관리, 사업지원 및 임대 서비스업</t>
        </is>
      </c>
      <c r="C1288" s="68" t="inlineStr">
        <is>
          <t>사업지원 서비스업</t>
        </is>
      </c>
      <c r="D1288" s="68" t="inlineStr">
        <is>
          <t>경비 및 경호 서비스업</t>
        </is>
      </c>
      <c r="E1288" s="68" t="inlineStr">
        <is>
          <t>경비 및 경호 서비스업</t>
        </is>
      </c>
      <c r="F1288" s="68" t="inlineStr">
        <is>
          <t>◦사무실, 주택, 오락시설, 유원지 및 주차장 등에서 경계, 재산 보호 및 도난을 방지하거나 사람의 생명 및 신체를 위해로부터 보호하는 산업활동을 말한다. 귀중품 운송 서비스를 제공하는 산업활동도 포함한다.
&lt;예 시&gt;
·경비업
·순찰 서비스
·건물 경비
·사업체 보안 서비스
·보디가드 서비스
·경호견 서비스
·경호 서비스
&lt;제 외&gt;
·보험에 관련된 조사 활동(672001)
·탐정 및 경호를 경찰에서 수행하는 경우(844040)</t>
        </is>
      </c>
      <c r="G1288" s="90" t="n">
        <v>85</v>
      </c>
      <c r="H1288" s="90" t="n">
        <v>0</v>
      </c>
      <c r="I1288" s="90" t="n">
        <v>25.7</v>
      </c>
    </row>
    <row r="1289">
      <c r="A1289" s="65" t="inlineStr">
        <is>
          <t>749201</t>
        </is>
      </c>
      <c r="B1289" s="68" t="inlineStr">
        <is>
          <t>사업시설 관리, 사업지원 및 임대 서비스업</t>
        </is>
      </c>
      <c r="C1289" s="68" t="inlineStr">
        <is>
          <t>사업지원 서비스업</t>
        </is>
      </c>
      <c r="D1289" s="68" t="inlineStr">
        <is>
          <t>보안 시스템 서비스업</t>
        </is>
      </c>
      <c r="E1289" s="68" t="inlineStr">
        <is>
          <t>보안 시스템 서비스업</t>
        </is>
      </c>
      <c r="F1289" s="68" t="inlineStr">
        <is>
          <t>◦화재 및 도난 경보장치 등과 같은 전자 보안◦경보 시스템의 원격 감시 및 유지◦관리 서비스를 제공하는 산업활동을 말한다.
&lt;제 외&gt;
·경보 조직 관련 통신설비 설치(452128)
·차량 경보 시스템 판매(도매 503007, 소매 503010)</t>
        </is>
      </c>
      <c r="G1289" s="90" t="n">
        <v>85</v>
      </c>
      <c r="H1289" s="90" t="n">
        <v>0</v>
      </c>
      <c r="I1289" s="90" t="n">
        <v>25.7</v>
      </c>
    </row>
    <row r="1290">
      <c r="A1290" s="65" t="inlineStr">
        <is>
          <t>749300</t>
        </is>
      </c>
      <c r="B1290" s="68" t="inlineStr">
        <is>
          <t>사업시설 관리, 사업지원 및 임대 서비스업</t>
        </is>
      </c>
      <c r="C1290" s="68" t="inlineStr">
        <is>
          <t>사업시설 관리 및 조경 서비스업</t>
        </is>
      </c>
      <c r="D1290" s="68" t="inlineStr">
        <is>
          <t>건물 및 산업설비 청소업</t>
        </is>
      </c>
      <c r="E1290" s="68" t="inlineStr">
        <is>
          <t>건축물 일반 청소업</t>
        </is>
      </c>
      <c r="F1290" s="68" t="inlineStr">
        <is>
          <t>◦주거용, 상업용 또는 산업용 건물의 내부 및 창문을 청소하는 산업활동을 말한다.
&lt;예 시&gt;
·건물 창문 청소
·건물 외부 청소
·공중 전화시설 청소
·구내 청소 대행
·바닥 청소 및 광택 내기
·내부 벽 청소
&lt;제 외&gt;
·건물 외부에 대한 증기 청소 및 건축활동이 완료된 후 신축 건물에 대한 정리활동(452200)
·산업설비, 운송장비 또는 공공장소 청소(900900)
·카펫, 바닥깔개, 가리개 및 커튼 세탁(930100, 930102)
·개인 가정 고용인의 청소활동(950001)
·하수도관 및 하수 처리시설 등 관련 시설 청소(900200 ,749301)</t>
        </is>
      </c>
      <c r="G1290" s="90" t="n">
        <v>85.5</v>
      </c>
      <c r="H1290" s="90" t="n">
        <v>0</v>
      </c>
      <c r="I1290" s="90" t="n">
        <v>17.3</v>
      </c>
    </row>
    <row r="1291">
      <c r="A1291" s="65" t="inlineStr">
        <is>
          <t>749301</t>
        </is>
      </c>
      <c r="B1291" s="68" t="inlineStr">
        <is>
          <t>수도, 하수 및 폐기물처리, 원료재생업</t>
        </is>
      </c>
      <c r="C1291" s="68" t="inlineStr">
        <is>
          <t>하수, 폐수 및 분뇨 처리업</t>
        </is>
      </c>
      <c r="D1291" s="68" t="inlineStr">
        <is>
          <t>하수 및 폐수 처리업</t>
        </is>
      </c>
      <c r="E1291" s="68" t="inlineStr">
        <is>
          <t>하수 처리업</t>
        </is>
      </c>
      <c r="F1291" s="68" t="inlineStr">
        <is>
          <t>◦하수도관 청소</t>
        </is>
      </c>
      <c r="G1291" s="90" t="n">
        <v>85.5</v>
      </c>
      <c r="H1291" s="90" t="n">
        <v>0</v>
      </c>
      <c r="I1291" s="90" t="n">
        <v>33</v>
      </c>
    </row>
    <row r="1292">
      <c r="A1292" s="65" t="inlineStr">
        <is>
          <t>749302</t>
        </is>
      </c>
      <c r="B1292" s="68" t="inlineStr">
        <is>
          <t>사업시설 관리, 사업지원 및 임대 서비스업</t>
        </is>
      </c>
      <c r="C1292" s="68" t="inlineStr">
        <is>
          <t>사업시설 관리 및 조경 서비스업</t>
        </is>
      </c>
      <c r="D1292" s="68" t="inlineStr">
        <is>
          <t>소독, 구충 및 방제 서비스업</t>
        </is>
      </c>
      <c r="E1292" s="68" t="inlineStr">
        <is>
          <t>소독, 구충 및 방제 서비스업</t>
        </is>
      </c>
      <c r="F1292" s="68" t="inlineStr">
        <is>
          <t>◦건물, 가구 및 기기 등을 소독, 구충 및 방제하는 산업활동을 말한다.
&lt;예 시&gt;
·건물 해충 구제 서비스
·선박 소독 및 살균 서비스
·화장실 위생 소독 서비스
·훈증 소독 서비스
&lt;제 외&gt;
·농작물 해충 구제 서비스(014302)</t>
        </is>
      </c>
      <c r="G1292" s="90" t="n">
        <v>85.5</v>
      </c>
      <c r="H1292" s="90" t="n">
        <v>0</v>
      </c>
      <c r="I1292" s="90" t="n">
        <v>18.5</v>
      </c>
    </row>
    <row r="1293">
      <c r="A1293" s="65" t="inlineStr">
        <is>
          <t>749303</t>
        </is>
      </c>
      <c r="B1293" s="68" t="inlineStr">
        <is>
          <t>사업시설 관리, 사업지원 및 임대 서비스업</t>
        </is>
      </c>
      <c r="C1293" s="68" t="inlineStr">
        <is>
          <t>사업시설 관리 및 조경 서비스업</t>
        </is>
      </c>
      <c r="D1293" s="68" t="inlineStr">
        <is>
          <t>조경관리 및 유지 서비스업</t>
        </is>
      </c>
      <c r="E1293" s="68" t="inlineStr">
        <is>
          <t>조경관리 및 유지 서비스업</t>
        </is>
      </c>
      <c r="F1293" s="68" t="inlineStr">
        <is>
          <t>◦수수료 및 계약에 의하여 건물 주위, 도로변, 정원, 공원, 운동장 등의 환경 조성에 따른 조경수, 잔디, 화초 등 각종 조경용 식물을 식재 및 유지◦관리하는 산업활동을 말한다. 조경수 및 관목의 보호를 위한 활동도 포함한다.
&lt;예 시&gt;
·조경수 관리
·정원수 식재
·정원관리 대리
·조경수목 치료 서비스
&lt;제 외&gt;
·조경수를 재배한 사업체가 식재를 하는 경우(011002)
·토목공사와 결합되는 조경수 식재(451400)
·산림 병충해 방지 서비스(020300)</t>
        </is>
      </c>
      <c r="G1293" s="90" t="n">
        <v>85.5</v>
      </c>
      <c r="H1293" s="90" t="n">
        <v>0</v>
      </c>
      <c r="I1293" s="90" t="n">
        <v>17.2</v>
      </c>
    </row>
    <row r="1294">
      <c r="A1294" s="65" t="inlineStr">
        <is>
          <t>749400</t>
        </is>
      </c>
      <c r="B1294" s="68" t="inlineStr">
        <is>
          <t>전문, 과학 및 기술서비스업</t>
        </is>
      </c>
      <c r="C1294" s="68" t="inlineStr">
        <is>
          <t>기타 전문, 과학 및 기술 서비스업</t>
        </is>
      </c>
      <c r="D1294" s="68" t="inlineStr">
        <is>
          <t>사진 촬영 및 처리업</t>
        </is>
      </c>
      <c r="E1294" s="68" t="inlineStr">
        <is>
          <t>인물 사진 및 행사용 영상 촬영업</t>
        </is>
      </c>
      <c r="F1294" s="68" t="inlineStr">
        <is>
          <t>◦사진관 또는 고객의 사무실 및 가정과 같은 장소에서 인물을 촬영하는 산업활동을 말한다. 사진은 그 대상을 있는 그대로 표현한다. 영화용 이외의 행사 사진 및 비디오 등 영상 촬영활동도 포함한다.
&lt;예 시&gt;
·초상화 촬영(개인)
·행사 비디오 촬영
·여권 사진 촬영
·학교 사진 촬영
&lt;제 외&gt;
·동전 조작식 사진 촬영기 운영(749401)
*예식사진촬영업(→930904)</t>
        </is>
      </c>
      <c r="G1294" s="90" t="n">
        <v>87.09999999999999</v>
      </c>
      <c r="H1294" s="90" t="n">
        <v>0</v>
      </c>
      <c r="I1294" s="90" t="n">
        <v>21.2</v>
      </c>
    </row>
    <row r="1295">
      <c r="A1295" s="65" t="inlineStr">
        <is>
          <t>749401</t>
        </is>
      </c>
      <c r="B1295" s="68" t="inlineStr">
        <is>
          <t>협회 및 단체, 수리 및 기타 개인서비스업</t>
        </is>
      </c>
      <c r="C1295" s="68" t="inlineStr">
        <is>
          <t>기타 개인 서비스업</t>
        </is>
      </c>
      <c r="D1295" s="68" t="inlineStr">
        <is>
          <t>그 외 기타 분류 안된 개인 서비스업</t>
        </is>
      </c>
      <c r="E1295" s="68" t="inlineStr">
        <is>
          <t>그 외 기타 달리 분류되지 않은 개인 서비스업</t>
        </is>
      </c>
      <c r="F1295" s="68" t="inlineStr">
        <is>
          <t>◦즉석에서 스티커사진이나 증명사진 등을 촬영할 수 있도록 자동사진촬영기를 설치하여 운영하는 업
&lt;예 시&gt;
·동전작동식 사진촬영기 운영</t>
        </is>
      </c>
      <c r="G1295" s="90" t="n">
        <v>83.3</v>
      </c>
      <c r="H1295" s="90" t="n">
        <v>0</v>
      </c>
      <c r="I1295" s="90" t="n">
        <v>20.8</v>
      </c>
    </row>
    <row r="1296">
      <c r="A1296" s="65" t="inlineStr">
        <is>
          <t>749402</t>
        </is>
      </c>
      <c r="B1296" s="68" t="inlineStr">
        <is>
          <t>전문, 과학 및 기술서비스업</t>
        </is>
      </c>
      <c r="C1296" s="68" t="inlineStr">
        <is>
          <t>기타 전문, 과학 및 기술 서비스업</t>
        </is>
      </c>
      <c r="D1296" s="68" t="inlineStr">
        <is>
          <t>사진 촬영 및 처리업</t>
        </is>
      </c>
      <c r="E1296" s="68" t="inlineStr">
        <is>
          <t>상업용 사진 촬영업</t>
        </is>
      </c>
      <c r="F1296" s="68" t="inlineStr">
        <is>
          <t>◦광고회사, 출판업자 및 기타 산업 사용자를 대상으로 사진 촬영서비스를 제공하는 산업활동을 말한다.
&lt;예 시&gt;
·광고관련 사진 촬영
·상품 사진 촬영
·상업용 사진 촬영
·산업용 사진 촬영
·의류 사진 촬영
·카탈로그 사진 촬영
·기기 및 건물 사진 촬영
·홍보 관련 인물 촬영
·구축물 촬영</t>
        </is>
      </c>
      <c r="G1296" s="90" t="n">
        <v>87.09999999999999</v>
      </c>
      <c r="H1296" s="90" t="n">
        <v>0</v>
      </c>
      <c r="I1296" s="90" t="n">
        <v>25.1</v>
      </c>
    </row>
    <row r="1297">
      <c r="A1297" s="65" t="inlineStr">
        <is>
          <t>749403</t>
        </is>
      </c>
      <c r="B1297" s="68" t="inlineStr">
        <is>
          <t>전문, 과학 및 기술서비스업</t>
        </is>
      </c>
      <c r="C1297" s="68" t="inlineStr">
        <is>
          <t>기타 전문, 과학 및 기술 서비스업</t>
        </is>
      </c>
      <c r="D1297" s="68" t="inlineStr">
        <is>
          <t>사진 촬영 및 처리업</t>
        </is>
      </c>
      <c r="E1297" s="68" t="inlineStr">
        <is>
          <t>사진 처리업</t>
        </is>
      </c>
      <c r="F1297" s="68" t="inlineStr">
        <is>
          <t>◦사진 및 비디오의 현상 처리, 인화 및 확대 처리 등을 수행하는 산업활동을 말한다. 슬라이드 제작, 오래된 사진 복원 및 투영도 수정 등을 수행하는 경우도 포함한다.
&lt;예 시&gt; 
·사진 인화 서비스
·슬라이드 제작 서비스
·사진 처리 서비스
·사진 복원 서비스
·사진 복사 및 손질 서비스(청사진 복사 제외)
·마이크로 필름 처리 서비스
&lt;제 외&gt;
·텔레비전 및 영화산업에 관련된 영화 필름 현상(921503)</t>
        </is>
      </c>
      <c r="G1297" s="90" t="n">
        <v>87.09999999999999</v>
      </c>
      <c r="H1297" s="90" t="n">
        <v>0</v>
      </c>
      <c r="I1297" s="90" t="n">
        <v>22.8</v>
      </c>
    </row>
    <row r="1298">
      <c r="A1298" s="65" t="inlineStr">
        <is>
          <t>749500</t>
        </is>
      </c>
      <c r="B1298" s="68" t="inlineStr">
        <is>
          <t>사업시설 관리, 사업지원 및 임대 서비스업</t>
        </is>
      </c>
      <c r="C1298" s="68" t="inlineStr">
        <is>
          <t>사업 지원 서비스업</t>
        </is>
      </c>
      <c r="D1298" s="68" t="inlineStr">
        <is>
          <t>그 외 기타 사업 지원 서비스업</t>
        </is>
      </c>
      <c r="E1298" s="68" t="inlineStr">
        <is>
          <t>포장 및 충전업</t>
        </is>
      </c>
      <c r="F1298" s="68" t="inlineStr">
        <is>
          <t>◦수수료 또는 계약에 의하여 자동 또는 수동 포장을 불문하고 수축 포장, 투명 포장 등의 각종 포장 방법을 이용하여 음식물, 의약품, 화장품, 철물 등의 제품을 포장하는 산업활동을 말한다. 이 산업에는 에어로졸의 혼합 및 주입이 포함되며, 포장물에 상표 부착 및 날인하는 활동이 결합될 수 있다.
&lt;예 시&gt;
·상표 부착 서비스
·여행용구 조립 및 포장
·부탄 가스 주입
·의류 포장
&lt;제 외&gt;
·운수업과 관련된 화물 포장 활동(630903)</t>
        </is>
      </c>
      <c r="G1298" s="90" t="n">
        <v>88.59999999999999</v>
      </c>
      <c r="H1298" s="90" t="n">
        <v>0</v>
      </c>
      <c r="I1298" s="90" t="n">
        <v>22.9</v>
      </c>
    </row>
    <row r="1299">
      <c r="A1299" s="65" t="inlineStr">
        <is>
          <t>749601</t>
        </is>
      </c>
      <c r="B1299" s="68" t="inlineStr">
        <is>
          <t>사업시설 관리, 사업지원 및 임대 서비스업</t>
        </is>
      </c>
      <c r="C1299" s="68" t="inlineStr">
        <is>
          <t>사업 지원 서비스업</t>
        </is>
      </c>
      <c r="D1299" s="68" t="inlineStr">
        <is>
          <t>그 외 기타 사업 지원 서비스업</t>
        </is>
      </c>
      <c r="E1299" s="68" t="inlineStr">
        <is>
          <t>그 외 기타 분류 안된 사업 지원 서비스업</t>
        </is>
      </c>
      <c r="F1299" s="68" t="inlineStr">
        <is>
          <t>◦종이재단 지원 서비스</t>
        </is>
      </c>
      <c r="G1299" s="90" t="n">
        <v>84.09999999999999</v>
      </c>
      <c r="H1299" s="90" t="n">
        <v>0</v>
      </c>
      <c r="I1299" s="90" t="n">
        <v>30</v>
      </c>
    </row>
    <row r="1300">
      <c r="A1300" s="65" t="inlineStr">
        <is>
          <t>749602</t>
        </is>
      </c>
      <c r="B1300" s="68" t="inlineStr">
        <is>
          <t>사업시설 관리, 사업지원 및 임대 서비스업</t>
        </is>
      </c>
      <c r="C1300" s="68" t="inlineStr">
        <is>
          <t>사업 지원 서비스업</t>
        </is>
      </c>
      <c r="D1300" s="68" t="inlineStr">
        <is>
          <t>그 외 기타 사업 지원 서비스업</t>
        </is>
      </c>
      <c r="E1300" s="68" t="inlineStr">
        <is>
          <t>그 외 기타 분류 안된 사업 지원 서비스업</t>
        </is>
      </c>
      <c r="F1300" s="68" t="inlineStr">
        <is>
          <t>◦해태건조
·화입(火入)방법에 의한 김 건조서비스
◦마세크탄(조개탄)도급가공
◦갈포가공</t>
        </is>
      </c>
      <c r="G1300" s="90" t="n">
        <v>85.7</v>
      </c>
      <c r="H1300" s="90" t="n">
        <v>0</v>
      </c>
      <c r="I1300" s="90" t="n">
        <v>12</v>
      </c>
    </row>
    <row r="1301">
      <c r="A1301" s="65" t="inlineStr">
        <is>
          <t>749603</t>
        </is>
      </c>
      <c r="B1301" s="68" t="inlineStr">
        <is>
          <t>사업시설 관리, 사업지원 및 임대 서비스업</t>
        </is>
      </c>
      <c r="C1301" s="68" t="inlineStr">
        <is>
          <t>사업 지원 서비스업</t>
        </is>
      </c>
      <c r="D1301" s="68" t="inlineStr">
        <is>
          <t>그 외 기타 사업 지원 서비스업</t>
        </is>
      </c>
      <c r="E1301" s="68" t="inlineStr">
        <is>
          <t>그 외 기타 분류 안된 사업 지원 서비스업</t>
        </is>
      </c>
      <c r="F1301" s="68" t="inlineStr">
        <is>
          <t>◦선박 임가공</t>
        </is>
      </c>
      <c r="G1301" s="90" t="n">
        <v>91.40000000000001</v>
      </c>
      <c r="H1301" s="90" t="n">
        <v>0</v>
      </c>
      <c r="I1301" s="90" t="n">
        <v>17.4</v>
      </c>
    </row>
    <row r="1302">
      <c r="A1302" s="65" t="inlineStr">
        <is>
          <t>749604</t>
        </is>
      </c>
      <c r="B1302" s="68" t="inlineStr">
        <is>
          <t>사업시설 관리, 사업지원 및 임대 서비스업</t>
        </is>
      </c>
      <c r="C1302" s="68" t="inlineStr">
        <is>
          <t>사업 지원 서비스업</t>
        </is>
      </c>
      <c r="D1302" s="68" t="inlineStr">
        <is>
          <t>그 외 기타 사업 지원 서비스업</t>
        </is>
      </c>
      <c r="E1302" s="68" t="inlineStr">
        <is>
          <t>그 외 기타 분류 안된 사업 지원 서비스업(기타임가공)</t>
        </is>
      </c>
      <c r="F1302" s="68" t="inlineStr">
        <is>
          <t>◦기타 임가공
 ·타인의 의뢰에 의하여 타인이 공급한 재화에 주요자재를 해당 사업자가 전혀 부담하지 않고(일부자재를 부담하는 것은 무방) 단순히 가공만 하여주고 그에 대한 대가를 받는 경우</t>
        </is>
      </c>
      <c r="G1302" s="90" t="n">
        <v>88.40000000000001</v>
      </c>
      <c r="H1302" s="90" t="n">
        <v>0</v>
      </c>
      <c r="I1302" s="90" t="n">
        <v>15.4</v>
      </c>
    </row>
    <row r="1303">
      <c r="A1303" s="65" t="inlineStr">
        <is>
          <t>749609</t>
        </is>
      </c>
      <c r="B1303" s="68" t="inlineStr">
        <is>
          <t>사업시설 관리, 사업지원 및 임대 서비스업</t>
        </is>
      </c>
      <c r="C1303" s="68" t="inlineStr">
        <is>
          <t>사업 지원 서비스업</t>
        </is>
      </c>
      <c r="D1303" s="68" t="inlineStr">
        <is>
          <t>그 외 기타 사업 지원 서비스업</t>
        </is>
      </c>
      <c r="E1303" s="68" t="inlineStr">
        <is>
          <t>온라인 활용 마케팅 및 관련 사업지원 서비스업, 그 외 기타 분류 안된 사업 지원 서비스업</t>
        </is>
      </c>
      <c r="F1303" s="68" t="inlineStr">
        <is>
          <t>◦그 외 기타 달리 분류되지 않은 사업 지원 서비스를 수행하는 산업활동을 말한다.
&lt;예 시&gt;
·가스, 전기, 수도 계량 대리
&lt;제 외&gt;
*상품권 매매업(→659901)
*종이재단 지원 서비스(→749601)
*해태건조, 마세크탄 도급가공, 갈포가공(→749602)
*선박 임가공(→749603)
*기타 임가공(→749604)
*기타 대리(→749921)</t>
        </is>
      </c>
      <c r="G1303" s="90" t="n">
        <v>86.40000000000001</v>
      </c>
      <c r="H1303" s="90" t="n">
        <v>0</v>
      </c>
      <c r="I1303" s="90" t="n">
        <v>22.5</v>
      </c>
    </row>
    <row r="1304">
      <c r="A1304" s="65" t="inlineStr">
        <is>
          <t>749901</t>
        </is>
      </c>
      <c r="B1304" s="68" t="inlineStr">
        <is>
          <t>사업시설 관리, 사업지원 및 임대 서비스업</t>
        </is>
      </c>
      <c r="C1304" s="68" t="inlineStr">
        <is>
          <t>사업 지원 서비스업</t>
        </is>
      </c>
      <c r="D1304" s="68" t="inlineStr">
        <is>
          <t>사무 지원 서비스업</t>
        </is>
      </c>
      <c r="E1304" s="68" t="inlineStr">
        <is>
          <t>문서 작성 및 복사업</t>
        </is>
      </c>
      <c r="F1304" s="68" t="inlineStr">
        <is>
          <t>◦속기사
·법정·회의·중개 등에 관한 사항의 속기록을 수기 또는 타이핑으로 작성하는 업(테이프, 디스크 및 구술내용을 전사하는 업 포함)</t>
        </is>
      </c>
      <c r="G1304" s="90" t="n">
        <v>81.5</v>
      </c>
      <c r="H1304" s="90" t="n">
        <v>0</v>
      </c>
      <c r="I1304" s="90" t="n">
        <v>25.3</v>
      </c>
    </row>
    <row r="1305">
      <c r="A1305" s="65" t="inlineStr">
        <is>
          <t>749902</t>
        </is>
      </c>
      <c r="B1305" s="68" t="inlineStr">
        <is>
          <t>전문, 과학 및 기술서비스업</t>
        </is>
      </c>
      <c r="C1305" s="68" t="inlineStr">
        <is>
          <t>기타 전문, 과학 및 기술 서비스업</t>
        </is>
      </c>
      <c r="D1305" s="68" t="inlineStr">
        <is>
          <t>그 외 기타 전문, 과학 및 기술 서비스업</t>
        </is>
      </c>
      <c r="E1305" s="68" t="inlineStr">
        <is>
          <t>번역 및 통역 서비스업</t>
        </is>
      </c>
      <c r="F1305" s="68" t="inlineStr">
        <is>
          <t>◦번역, 통역 및 수화 서비스를 제공하는 산업활동을 말한다.
&lt;예 시&gt;
·번역 서비스
·통역 서비스</t>
        </is>
      </c>
      <c r="G1305" s="90" t="n">
        <v>77.5</v>
      </c>
      <c r="H1305" s="90" t="n">
        <v>0</v>
      </c>
      <c r="I1305" s="90" t="n">
        <v>29.2</v>
      </c>
    </row>
    <row r="1306">
      <c r="A1306" s="65" t="inlineStr">
        <is>
          <t>749903</t>
        </is>
      </c>
      <c r="B1306" s="68" t="inlineStr">
        <is>
          <t>전문, 과학 및 기술서비스업</t>
        </is>
      </c>
      <c r="C1306" s="68" t="inlineStr">
        <is>
          <t>기타 전문, 과학 및 기술 서비스업</t>
        </is>
      </c>
      <c r="D1306" s="68" t="inlineStr">
        <is>
          <t>그 외 기타 전문, 과학 및 기술 서비스업</t>
        </is>
      </c>
      <c r="E1306" s="68" t="inlineStr">
        <is>
          <t>사업 및 무형 재산권 중개업</t>
        </is>
      </c>
      <c r="F1306" s="68" t="inlineStr">
        <is>
          <t>◦사업 재산권을 감정, 중개 및 알선하는 산업활동을 말한다.
&lt;예 시&gt;
·사업체 합병(M&amp;A) 알선 및 자문
·회원권 분양 중개 및 대행
&lt;제 외&gt;
*무형 재산권 감정, 중개 및 알선(→749941)</t>
        </is>
      </c>
      <c r="G1306" s="90" t="n">
        <v>77.90000000000001</v>
      </c>
      <c r="H1306" s="90" t="n">
        <v>0</v>
      </c>
      <c r="I1306" s="90" t="n">
        <v>28.3</v>
      </c>
    </row>
    <row r="1307">
      <c r="A1307" s="65" t="inlineStr">
        <is>
          <t>749904</t>
        </is>
      </c>
      <c r="B1307" s="68" t="inlineStr">
        <is>
          <t>금융 및 보험업</t>
        </is>
      </c>
      <c r="C1307" s="68" t="inlineStr">
        <is>
          <t>금융 및 보험관련 서비스업</t>
        </is>
      </c>
      <c r="D1307" s="68" t="inlineStr">
        <is>
          <t>보험 및 연금관련 서비스업</t>
        </is>
      </c>
      <c r="E1307" s="68" t="inlineStr">
        <is>
          <t>손해 사정업</t>
        </is>
      </c>
      <c r="F1307" s="68" t="inlineStr">
        <is>
          <t>◦보험 및 피보험자를 위해 각종 손실, 파손의 감정 및 기타 보험 감정업무를 수행하는 산업활동을 말한다.
&lt;예 시&gt;
·손해사정 사무소
·손실평가서비스</t>
        </is>
      </c>
      <c r="G1307" s="90" t="n">
        <v>73.59999999999999</v>
      </c>
      <c r="H1307" s="90" t="n">
        <v>0</v>
      </c>
      <c r="I1307" s="90" t="n">
        <v>25.8</v>
      </c>
    </row>
    <row r="1308">
      <c r="A1308" s="65" t="inlineStr">
        <is>
          <t>749905</t>
        </is>
      </c>
      <c r="B1308" s="68" t="inlineStr">
        <is>
          <t>사업시설 관리, 사업지원 및 임대 서비스업</t>
        </is>
      </c>
      <c r="C1308" s="68" t="inlineStr">
        <is>
          <t>사업 지원 서비스업</t>
        </is>
      </c>
      <c r="D1308" s="68" t="inlineStr">
        <is>
          <t>사무 지원 서비스업</t>
        </is>
      </c>
      <c r="E1308" s="68" t="inlineStr">
        <is>
          <t>문서 작성 및 복사업</t>
        </is>
      </c>
      <c r="F1308" s="68" t="inlineStr">
        <is>
          <t>◦편지 및 이력서 작성, 문서 편집 및 교정, 타이핑, 문서 처리(워드프로세싱),  필사 등을 하는 산업활동을 말한다.
&lt;예 시&gt;
·챠트작성업
&lt;제 외&gt;
*속기사(→749901)</t>
        </is>
      </c>
      <c r="G1308" s="90" t="n">
        <v>78.7</v>
      </c>
      <c r="H1308" s="90" t="n">
        <v>0</v>
      </c>
      <c r="I1308" s="90" t="n">
        <v>26.6</v>
      </c>
    </row>
    <row r="1309">
      <c r="A1309" s="65" t="inlineStr">
        <is>
          <t>749906</t>
        </is>
      </c>
      <c r="B1309" s="68" t="inlineStr">
        <is>
          <t>운수 및 창고업</t>
        </is>
      </c>
      <c r="C1309" s="68" t="inlineStr">
        <is>
          <t>창고 및 운송관련 서비스업</t>
        </is>
      </c>
      <c r="D1309" s="68" t="inlineStr">
        <is>
          <t>그 외 기타 운송관련 서비스업</t>
        </is>
      </c>
      <c r="E1309" s="68" t="inlineStr">
        <is>
          <t>통관 대리 및 관련서비스업</t>
        </is>
      </c>
      <c r="F1309" s="68" t="inlineStr">
        <is>
          <t>◦관세사</t>
        </is>
      </c>
      <c r="G1309" s="90" t="n">
        <v>72.09999999999999</v>
      </c>
      <c r="H1309" s="90" t="n">
        <v>0</v>
      </c>
      <c r="I1309" s="90" t="n">
        <v>24.8</v>
      </c>
    </row>
    <row r="1310">
      <c r="A1310" s="65" t="inlineStr">
        <is>
          <t>749907</t>
        </is>
      </c>
      <c r="B1310" s="68" t="inlineStr">
        <is>
          <t>사업시설 관리, 사업지원 및 임대 서비스업</t>
        </is>
      </c>
      <c r="C1310" s="68" t="inlineStr">
        <is>
          <t>사업 지원 서비스업</t>
        </is>
      </c>
      <c r="D1310" s="68" t="inlineStr">
        <is>
          <t>그 외 기타 사업 지원 서비스업</t>
        </is>
      </c>
      <c r="E1310" s="68" t="inlineStr">
        <is>
          <t>전시, 컨벤션 및 행사 대행업</t>
        </is>
      </c>
      <c r="F1310" s="68" t="inlineStr">
        <is>
          <t>◦각종 전시회, 컨벤션 및 행사를 기획․조직하는 산업활동을 말한다. 전시회, 컨벤션 및 행사와 관련된 조사, 기획, 설계, 구성, 제작, 시공감리 등에 관한 전반적인 책임을 맡아 이러한 시설의 내장, 외장, 전시장치, 기계 설비(음향, 영상 등) 등을 종합적으로 구성․연출하는 사업체도 포함한다. 전시회 및 회의 장소만을 임대하는 경우는 제외한다.
&lt;예 시&gt;
·산업 박람회 기획
·주택 전시회 기획
·패션쇼 기획
·전시디자인(전시장 및 전시회 등 관리 지원서비스에 한함)
·과학 행사 기획
·문화 행사 기획
·전시시설 기획 및 연출
&lt;제 외&gt;
·과학 및 문화 전시관 운영(923200)
·전시회장 및 컨벤션장 임대(701201)</t>
        </is>
      </c>
      <c r="G1310" s="90" t="n">
        <v>83.59999999999999</v>
      </c>
      <c r="H1310" s="90" t="n">
        <v>0</v>
      </c>
      <c r="I1310" s="90" t="n">
        <v>26.5</v>
      </c>
    </row>
    <row r="1311">
      <c r="A1311" s="65" t="inlineStr">
        <is>
          <t>749909</t>
        </is>
      </c>
      <c r="B1311" s="68" t="inlineStr">
        <is>
          <t>사업시설 관리, 사업지원 및 임대 서비스업</t>
        </is>
      </c>
      <c r="C1311" s="68" t="inlineStr">
        <is>
          <t>사업 지원 서비스업</t>
        </is>
      </c>
      <c r="D1311" s="68" t="inlineStr">
        <is>
          <t>사무 지원 서비스업</t>
        </is>
      </c>
      <c r="E1311" s="68" t="inlineStr">
        <is>
          <t>문서 작성 및 복사업</t>
        </is>
      </c>
      <c r="F1311" s="68" t="inlineStr">
        <is>
          <t>◦인쇄활동은 하지 않으면서 도서의 복사, 청사진 처리를 수행하는 산업활동을 말한다.</t>
        </is>
      </c>
      <c r="G1311" s="90" t="n">
        <v>85.2</v>
      </c>
      <c r="H1311" s="90" t="n">
        <v>0</v>
      </c>
      <c r="I1311" s="90" t="n">
        <v>18.1</v>
      </c>
    </row>
    <row r="1312">
      <c r="A1312" s="65" t="inlineStr">
        <is>
          <t>749910</t>
        </is>
      </c>
      <c r="B1312" s="68" t="inlineStr">
        <is>
          <t>전문, 과학 및 기술서비스업</t>
        </is>
      </c>
      <c r="C1312" s="68" t="inlineStr">
        <is>
          <t>기타 전문, 과학 및 기술 서비스업</t>
        </is>
      </c>
      <c r="D1312" s="68" t="inlineStr">
        <is>
          <t>전문 디자인업</t>
        </is>
      </c>
      <c r="E1312" s="68" t="inlineStr">
        <is>
          <t>시각 디자인업</t>
        </is>
      </c>
      <c r="F1312" s="68" t="inlineStr">
        <is>
          <t>◦특정 메시지, 이미지 또는 개념을 시각적으로 전달하거나 가상 현상 등을 시각적으로 명확하게 전달 또는 표현하기 위한 시각 전달 매체를 기획, 디자인 및 관리하는 산업활동을 말한다. 비디오물 및 영상 화면 구성, 기업 로고 등의 디자인, 기술적인 정확성 또는 해석 기술이 요구되는 설명도 및 삽화를 제작하는 사업체도 포함한다.
&lt;예 시&gt;
·상업 미술
·메디컬 일러스트레이션
·그래픽 디자인
·실크스크린 디자인
·기업 로고 디자인
·캐릭터 디자인
·각종 제품 및 상품 패키지(용기, 라벨, 제품 박스 등) 디자인
·타이포그래피 디자인
·아이덴티티 디자인(CI, BI)
·출판물 편집 디자인
·영상 디자인
&lt;제 외&gt;
·애니메이션(만화) 영화 제작(921504)
·만화 및 시각 예술을 제작하는 자영 예술가(940200)
·광고물 제작 대리(743001~743005)</t>
        </is>
      </c>
      <c r="G1312" s="90" t="n">
        <v>78.8</v>
      </c>
      <c r="H1312" s="90" t="n">
        <v>0</v>
      </c>
      <c r="I1312" s="90" t="n">
        <v>19.1</v>
      </c>
    </row>
    <row r="1313">
      <c r="A1313" s="65" t="inlineStr">
        <is>
          <t>749911</t>
        </is>
      </c>
      <c r="B1313" s="68" t="inlineStr">
        <is>
          <t>전문, 과학 및 기술서비스업</t>
        </is>
      </c>
      <c r="C1313" s="68" t="inlineStr">
        <is>
          <t>기타 전문, 과학 및 기술 서비스업</t>
        </is>
      </c>
      <c r="D1313" s="68" t="inlineStr">
        <is>
          <t>그 외 기타 전문, 과학 및 기술 서비스업</t>
        </is>
      </c>
      <c r="E1313" s="68" t="inlineStr">
        <is>
          <t>매니저업</t>
        </is>
      </c>
      <c r="F1313" s="68" t="inlineStr">
        <is>
          <t>◦예술가, 연예인, 스포츠인 등 일반적으로 공인을 대리하고 관리하는 산업활동을 말한다. 이 사업체는 고객을 위하여 계약 협상, 금전 문제 관리, 경력 홍보 등을 수행한다.
&lt;예 시&gt;
·유명 인사 매니저
·모델 매니저</t>
        </is>
      </c>
      <c r="G1313" s="90" t="n">
        <v>80.7</v>
      </c>
      <c r="H1313" s="90" t="n">
        <v>0</v>
      </c>
      <c r="I1313" s="90" t="n">
        <v>30.2</v>
      </c>
    </row>
    <row r="1314">
      <c r="A1314" s="65" t="inlineStr">
        <is>
          <t>749912</t>
        </is>
      </c>
      <c r="B1314" s="68" t="inlineStr">
        <is>
          <t>전문, 과학 및 기술서비스업</t>
        </is>
      </c>
      <c r="C1314" s="68" t="inlineStr">
        <is>
          <t>기타 전문, 과학 및 기술 서비스업</t>
        </is>
      </c>
      <c r="D1314" s="68" t="inlineStr">
        <is>
          <t>그 외 기타 전문, 과학 및 기술 서비스업</t>
        </is>
      </c>
      <c r="E1314" s="68" t="inlineStr">
        <is>
          <t>물품 감정, 계량 및 견본 추출업</t>
        </is>
      </c>
      <c r="F1314" s="68" t="inlineStr">
        <is>
          <t>◦물품을 감정하거나 각종 상품의 계량, 형량 및 견본 추출과 그 결과를 증명하는 산업활동을 말한다.
&lt;예 시&gt;
·계량 증명소
·상품 견본 추출 대리
·보석 감정
·골동품 감정
·물량 조사 서비스
&lt;제 외&gt;
·운수관련 화물 검수·계량 서비스(630903)
·손해 사정 서비스(749904)
·부동산 감정 평가(702002)
·물질 성분 검사(742203)</t>
        </is>
      </c>
      <c r="G1314" s="90" t="n">
        <v>80.90000000000001</v>
      </c>
      <c r="H1314" s="90" t="n">
        <v>0</v>
      </c>
      <c r="I1314" s="90" t="n">
        <v>29.3</v>
      </c>
    </row>
    <row r="1315">
      <c r="A1315" s="65" t="inlineStr">
        <is>
          <t>749913</t>
        </is>
      </c>
      <c r="B1315" s="68" t="inlineStr">
        <is>
          <t>사업시설 관리, 사업지원 및 임대 서비스업</t>
        </is>
      </c>
      <c r="C1315" s="68" t="inlineStr">
        <is>
          <t>사업 지원 서비스업</t>
        </is>
      </c>
      <c r="D1315" s="68" t="inlineStr">
        <is>
          <t>그 외 기타 사업 지원 서비스업</t>
        </is>
      </c>
      <c r="E1315" s="68" t="inlineStr">
        <is>
          <t>신용 조사 및 추심 대행업</t>
        </is>
      </c>
      <c r="F1315" s="68" t="inlineStr">
        <is>
          <t>◦개인의 신용◦고용 기록 및 사업체의 신용 기록을 수집하고, 이들의 신용도를 알고자 하는 금융기관, 소매상 등에게 수집된 정보를 제공하는 산업활동과 청구서의 금액을 수금하여 고객에게 송금하는 산업활동을 말한다.
&lt;예 시&gt;
·외상 수금 대리
·채무자 추적 서비스
·개인 신용도 조사
·회사 신용도 조사
·기업 신용 평가
&lt;제 외&gt;
·탐정 서비스(930916)</t>
        </is>
      </c>
      <c r="G1315" s="90" t="n">
        <v>81.7</v>
      </c>
      <c r="H1315" s="90" t="n">
        <v>0</v>
      </c>
      <c r="I1315" s="90" t="n">
        <v>21.9</v>
      </c>
    </row>
    <row r="1316">
      <c r="A1316" s="65" t="inlineStr">
        <is>
          <t>749914</t>
        </is>
      </c>
      <c r="B1316" s="68" t="inlineStr">
        <is>
          <t>전문, 과학 및 기술서비스업</t>
        </is>
      </c>
      <c r="C1316" s="68" t="inlineStr">
        <is>
          <t>기타 전문, 과학 및 기술 서비스업</t>
        </is>
      </c>
      <c r="D1316" s="68" t="inlineStr">
        <is>
          <t>전문 디자인업</t>
        </is>
      </c>
      <c r="E1316" s="68" t="inlineStr">
        <is>
          <t>인테리어 디자인업</t>
        </is>
      </c>
      <c r="F1316" s="68" t="inlineStr">
        <is>
          <t>◦건축관련 법규, 안전성, 기계 및 전기적 특성, 내부 부착물 및 가구 등을 고려하여 사용상의 안전성, 편의성 및 미적 요소 등을 충족시키는 실내 공간 구성을 기획, 설계 및 관리하는 산업활동을 말한다. 이 사업체는 식당 및 호텔, 의료기관, 공공건물, 상업 및 기업 건물, 주택 등의 설계 분야에서 인테리어 디자인 및 자문을 제공한다. 실내 공간 설계와 관련하여 미적인 디자인만 제공하는 실내 장식 전문가도 포함한다.
&lt;예 시&gt;
·실내 장식 디자인
·실내 장식 자문 서비스
&lt;제 외&gt;
·가구 및 실내설비를 판매하면서 실내 장식 서비스를 제공(해당 산업활동으로 분류)
·실내 장식공사(452105~452107)
·전시시설 기획 및 행사 대행(749907)</t>
        </is>
      </c>
      <c r="G1316" s="90" t="n">
        <v>81.5</v>
      </c>
      <c r="H1316" s="90" t="n">
        <v>0</v>
      </c>
      <c r="I1316" s="90" t="n">
        <v>23</v>
      </c>
    </row>
    <row r="1317">
      <c r="A1317" s="65" t="inlineStr">
        <is>
          <t>749915</t>
        </is>
      </c>
      <c r="B1317" s="68" t="inlineStr">
        <is>
          <t>전문, 과학 및 기술서비스업</t>
        </is>
      </c>
      <c r="C1317" s="68" t="inlineStr">
        <is>
          <t>기타 전문, 과학 및 기술 서비스업</t>
        </is>
      </c>
      <c r="D1317" s="68" t="inlineStr">
        <is>
          <t>전문 디자인업</t>
        </is>
      </c>
      <c r="E1317" s="68" t="inlineStr">
        <is>
          <t>제품 디자인업</t>
        </is>
      </c>
      <c r="F1317" s="68" t="inlineStr">
        <is>
          <t>◦제품의 기능, 사용, 가치 및 외관 등을 최적화 하도록 사양을 기획 및 디자인하는 산업 디자인 서비스 활동을 말한다. 이 서비스에는 안전성, 시장성 및 생산의 효율성, 유통, 사용 및 수리 측면 등을 고려하여 제품의 재료, 공정, 작동 방식, 외관, 색, 표면 처리 등을 결정할 수 있다.
&lt;예 시&gt;
·자동차 디자인
·제품 디자인 자문 서비스
·가구 디자인
·모형 디자인
·기계 및 수공구 디자인
·포장산업 디자인
·전기 및 전자제품 디자인
·생활 및 환경용품 디자인
·운송 기기 디자인
&lt;제 외&gt;
·패션 관련 제품, 텍스타일(섬유류) 및 기타 전문 디자인업(749916)
·기계, 재료, 구축물 및 시스템의 공학적인 설계 및 개발(742104,742106,742109,742110)</t>
        </is>
      </c>
      <c r="G1317" s="90" t="n">
        <v>80.7</v>
      </c>
      <c r="H1317" s="90" t="n">
        <v>0</v>
      </c>
      <c r="I1317" s="90" t="n">
        <v>19.7</v>
      </c>
    </row>
    <row r="1318">
      <c r="A1318" s="65" t="inlineStr">
        <is>
          <t>749916</t>
        </is>
      </c>
      <c r="B1318" s="68" t="inlineStr">
        <is>
          <t>전문, 과학 및 기술서비스업</t>
        </is>
      </c>
      <c r="C1318" s="68" t="inlineStr">
        <is>
          <t>기타 전문, 과학 및 기술 서비스업</t>
        </is>
      </c>
      <c r="D1318" s="68" t="inlineStr">
        <is>
          <t>전문 디자인업</t>
        </is>
      </c>
      <c r="E1318" s="68" t="inlineStr">
        <is>
          <t>패션, 섬유류 및 기타 전문 디자인업</t>
        </is>
      </c>
      <c r="F1318" s="68" t="inlineStr">
        <is>
          <t>◦패션 제품, 텍스타일 제품 및 기타 전문 디자인을 수행하는 산업활동을 말한다.
&lt;예 시&gt;
·패션 제품(의복, 가죽, 가방 및 액세서리) 디자인
·텍스타일(섬유류) 패턴(pattern) 디자인
·귀금속 및 보석 디자인
·구두 디자인
·모피 디자인
·의류 디자인</t>
        </is>
      </c>
      <c r="G1318" s="90" t="n">
        <v>80.5</v>
      </c>
      <c r="H1318" s="90" t="n">
        <v>0</v>
      </c>
      <c r="I1318" s="90" t="n">
        <v>20.8</v>
      </c>
    </row>
    <row r="1319">
      <c r="A1319" s="65" t="inlineStr">
        <is>
          <t>749921</t>
        </is>
      </c>
      <c r="B1319" s="68" t="inlineStr">
        <is>
          <t>사업시설 관리, 사업지원 및 임대 서비스업</t>
        </is>
      </c>
      <c r="C1319" s="68" t="inlineStr">
        <is>
          <t>사업 지원 서비스업</t>
        </is>
      </c>
      <c r="D1319" s="68" t="inlineStr">
        <is>
          <t>그 외 기타 사업 지원 서비스업</t>
        </is>
      </c>
      <c r="E1319" s="68" t="inlineStr">
        <is>
          <t>온라인 활용 마케팅 및 관련 사업지원 서비스업, 그 외 기타 분류 안된 사업 지원 서비스업</t>
        </is>
      </c>
      <c r="F1319" s="68" t="inlineStr">
        <is>
          <t>◦기타 대리
&lt;예 시&gt;
·편집대리 서비스
·판매권 발행대리
·경품권 발행대리 서비스
·신용카드 발행대리
·복권 발행대리(로또, 토토)
·인터넷가입유치대행</t>
        </is>
      </c>
      <c r="G1319" s="90" t="n">
        <v>77.2</v>
      </c>
      <c r="H1319" s="90" t="n">
        <v>0</v>
      </c>
      <c r="I1319" s="90" t="n">
        <v>17.4</v>
      </c>
    </row>
    <row r="1320">
      <c r="A1320" s="65" t="inlineStr">
        <is>
          <t>749927</t>
        </is>
      </c>
      <c r="B1320" s="68" t="inlineStr">
        <is>
          <t>도매 및 소매업</t>
        </is>
      </c>
      <c r="C1320" s="68" t="inlineStr">
        <is>
          <t>도매 및 상품 중개업</t>
        </is>
      </c>
      <c r="D1320" s="68" t="inlineStr">
        <is>
          <t>상품 중개업</t>
        </is>
      </c>
      <c r="E1320" s="68" t="inlineStr">
        <is>
          <t>섬유, 의복, 신발 및 가죽제품 중개업, 목재 및 건축자재 중개업, 연료, 광물, 1차 금속, 비료 및 화학제품 중개업, 기계 및 장비 중개업, 상품 종합 중개업</t>
        </is>
      </c>
      <c r="F1320" s="68" t="inlineStr">
        <is>
          <t>◦물품매도확약서 발행업</t>
        </is>
      </c>
      <c r="G1320" s="90" t="n">
        <v>71.09999999999999</v>
      </c>
      <c r="H1320" s="90" t="n">
        <v>0</v>
      </c>
      <c r="I1320" s="90" t="n">
        <v>17.9</v>
      </c>
    </row>
    <row r="1321">
      <c r="A1321" s="65" t="inlineStr">
        <is>
          <t>749930</t>
        </is>
      </c>
      <c r="B1321" s="68" t="inlineStr">
        <is>
          <t>운수 및 창고업</t>
        </is>
      </c>
      <c r="C1321" s="68" t="inlineStr">
        <is>
          <t>창고 및 운송관련 서비스업</t>
        </is>
      </c>
      <c r="D1321" s="68" t="inlineStr">
        <is>
          <t>육상 운송 지원 서비스업</t>
        </is>
      </c>
      <c r="E1321" s="68" t="inlineStr">
        <is>
          <t>도로 및 관련시설 운영업</t>
        </is>
      </c>
      <c r="F1321" s="68" t="inlineStr">
        <is>
          <t>◦고속도로 톨게이트 통행료 징수대행사업</t>
        </is>
      </c>
      <c r="G1321" s="90" t="n">
        <v>77.2</v>
      </c>
      <c r="H1321" s="90" t="n">
        <v>0</v>
      </c>
      <c r="I1321" s="90" t="n">
        <v>16.7</v>
      </c>
    </row>
    <row r="1322">
      <c r="A1322" s="65" t="inlineStr">
        <is>
          <t>749934</t>
        </is>
      </c>
      <c r="B1322" s="68" t="inlineStr">
        <is>
          <t>사업시설 관리, 사업지원 및 임대 서비스업</t>
        </is>
      </c>
      <c r="C1322" s="68" t="inlineStr">
        <is>
          <t>임대업: 부동산 제외</t>
        </is>
      </c>
      <c r="D1322" s="68" t="inlineStr">
        <is>
          <t>무형 재산권 임대업</t>
        </is>
      </c>
      <c r="E1322" s="68" t="inlineStr">
        <is>
          <t>무형 재산권 임대업</t>
        </is>
      </c>
      <c r="F1322" s="68" t="inlineStr">
        <is>
          <t>◦특허권, 상표권 등의 무형 재산권을 보유하여 제3자에게 사용할 수 있는 권한을 부여하고 사용료를 받는 산업활동을 말한다.
&lt;예 시&gt;
·특허권 임대
·상표권 임대
·브랜드 사용권 임대
·기술 사용권 임대
&lt;제 외&gt;
*광업권자·조광권자의 채굴권리의 대여 수입(→701600)
*광업권자, 조광권자로부터 받은 조광료 수입중 사업소득 과세분(→143200)</t>
        </is>
      </c>
      <c r="G1322" s="90" t="n">
        <v>46.6</v>
      </c>
      <c r="H1322" s="90" t="n">
        <v>0</v>
      </c>
      <c r="I1322" s="90" t="n">
        <v>9.199999999999999</v>
      </c>
    </row>
    <row r="1323">
      <c r="A1323" s="65" t="inlineStr">
        <is>
          <t>749935</t>
        </is>
      </c>
      <c r="B1323" s="68" t="inlineStr">
        <is>
          <t>사업시설 관리, 사업지원 및 임대 서비스업</t>
        </is>
      </c>
      <c r="C1323" s="68" t="inlineStr">
        <is>
          <t>사업시설 관리 및 조경 서비스업</t>
        </is>
      </c>
      <c r="D1323" s="68" t="inlineStr">
        <is>
          <t>사업시설 유지ㆍ관리 서비스업</t>
        </is>
      </c>
      <c r="E1323" s="68" t="inlineStr">
        <is>
          <t>사업시설 유지ㆍ관리 서비스업</t>
        </is>
      </c>
      <c r="F1323" s="68" t="inlineStr">
        <is>
          <t>◦고객의 사업시설을 유지 및 관리하는 산업활동으로서 경비, 청소, 우편물 선별, 기계장치, 통신 및 전기장치 점검◦유지◦수리 등의 관련 서비스를 다양하게 제공하는 산업활동을 말한다. 사업장 내부시설(전기시설, 통신시설, 기계◦장비시설, IBS(지능형빌딩시스템, Intelligent Building System)시설, 급배수 및 송풍시설, 사업시설, 소방설비 및 건물시설 등 일체의 사업시설)에 대한 관리 서비스를 함께 포함한다.
&lt;예 시&gt;
·사업시설 유지·관리
·기관시설 유지·관리
&lt;제 외&gt;
·비주거용 부동산 관리활동(702003)
·정비, 수리, 청소 등 특정 전문서비스 대리는 그 활동종류에 따라 각각 분류</t>
        </is>
      </c>
      <c r="G1323" s="90" t="n">
        <v>81.5</v>
      </c>
      <c r="H1323" s="90" t="n">
        <v>0</v>
      </c>
      <c r="I1323" s="90" t="n">
        <v>17.5</v>
      </c>
    </row>
    <row r="1324">
      <c r="A1324" s="65" t="inlineStr">
        <is>
          <t>749937</t>
        </is>
      </c>
      <c r="B1324" s="68" t="inlineStr">
        <is>
          <t>사업시설 관리, 사업지원 및 임대 서비스업</t>
        </is>
      </c>
      <c r="C1324" s="68" t="inlineStr">
        <is>
          <t>사업 지원 서비스업</t>
        </is>
      </c>
      <c r="D1324" s="68" t="inlineStr">
        <is>
          <t>사무 지원 서비스업</t>
        </is>
      </c>
      <c r="E1324" s="68" t="inlineStr">
        <is>
          <t>기타 사무 지원 서비스업</t>
        </is>
      </c>
      <c r="F1324" s="68" t="inlineStr">
        <is>
          <t>◦고객의 요구에 의하여 청구서 작성 및 기록 활동, 인력 및 물자 분배 등의 일일 사무 행정 서비스를 종합적으로 제공하거나 기타 분류되지 않은 사무 지원 서비스업을 포함한다.</t>
        </is>
      </c>
      <c r="G1324" s="90" t="n">
        <v>81.40000000000001</v>
      </c>
      <c r="H1324" s="90" t="n">
        <v>0</v>
      </c>
      <c r="I1324" s="90" t="n">
        <v>21.9</v>
      </c>
    </row>
    <row r="1325">
      <c r="A1325" s="65" t="inlineStr">
        <is>
          <t>749938</t>
        </is>
      </c>
      <c r="B1325" s="68" t="inlineStr">
        <is>
          <t>사업시설 관리, 사업지원 및 임대 서비스업</t>
        </is>
      </c>
      <c r="C1325" s="68" t="inlineStr">
        <is>
          <t>사업 지원 서비스업</t>
        </is>
      </c>
      <c r="D1325" s="68" t="inlineStr">
        <is>
          <t>그 외 기타 사업 지원 서비스업</t>
        </is>
      </c>
      <c r="E1325" s="68" t="inlineStr">
        <is>
          <t>콜센터 및 텔레마케팅 서비스업</t>
        </is>
      </c>
      <c r="F1325" s="68" t="inlineStr">
        <is>
          <t>◦수수료 또는 계약에 의해 전화 매체로 고객의 불만 또는 기타 요청 사항을 접수하여 처리하거나 제품 및 상품을 소유하지 않고 고객의 상품 및 서비스를 전화로 홍보, 주문 접수, 정보 제공 등의 서비스를 제공하는 산업활동을 말한다. 상품 소매, 보험 대리 등의 특정 산업활동을 수행하는 사업체가 전화 매체를 통해 사업을 수행하는 경우에는 그 본질적인 활동에 따라 분류한다.
&lt;예 시&gt;
·콜센터 운영
·텔레마케팅 서비스
·전화번호 안내 서비스
·인바운드(in-bound),아웃바운드(out-bound) 서비스
&lt;제 외&gt;
·통신 수단에 의한 상품 소매활동(525101, 525102, 525103)
·통신 수단에 의한 보험 대리(672000)</t>
        </is>
      </c>
      <c r="G1325" s="90" t="n">
        <v>84.8</v>
      </c>
      <c r="H1325" s="90" t="n">
        <v>0</v>
      </c>
      <c r="I1325" s="90" t="n">
        <v>31.4</v>
      </c>
    </row>
    <row r="1326">
      <c r="A1326" s="65" t="inlineStr">
        <is>
          <t>749939</t>
        </is>
      </c>
      <c r="B1326" s="68" t="inlineStr">
        <is>
          <t>전문, 과학 및 기술서비스업</t>
        </is>
      </c>
      <c r="C1326" s="68" t="inlineStr">
        <is>
          <t>기타 전문, 과학 및 기술 서비스업</t>
        </is>
      </c>
      <c r="D1326" s="68" t="inlineStr">
        <is>
          <t>그 외 기타 전문, 과학 및 기술 서비스업</t>
        </is>
      </c>
      <c r="E1326" s="68" t="inlineStr">
        <is>
          <t>고고유산 조사연구 서비스업,그 외 기타 분류 안된 전문, 과학 및 기술 서비스업</t>
        </is>
      </c>
      <c r="F1326" s="68" t="inlineStr">
        <is>
          <t>◦토지(지표·지중) 또는 수중(바다·호수·하천)에 분포·매장(생성·퇴적)되거나 건조물 등에 포장되어 있는 고고유산에 대한 전문지식과 조사기술을 이용하여 고고유산을 보호·보존 및 조사·연구 등의 서비스를 제공하는 산업활동을 말한다.
◦기타 분류되지 않은 전문, 과학 및 기술 서비스를 제공하는 산업활동을 말한다. 농․축산물, 식품 및 의약품에 대하여 방사선을 쬐어 멸균 또는 보존 처리하는 산업활동을 포함한다.
&lt;예 시&gt;
·고고유산 지표·발굴조사 서비스           
·고고유산 보존 및 활용 서비스
·고고유산 조사기관                        
·보존 서적 방부처리 서비스    
·의약품 조사 처리                        
·식품 조사 처리
·농산물 방사선 처리
&lt;제 외&gt;
·우유 저온 살균 처리(152002)</t>
        </is>
      </c>
      <c r="G1326" s="90" t="n">
        <v>79.8</v>
      </c>
      <c r="H1326" s="90" t="n">
        <v>0</v>
      </c>
      <c r="I1326" s="90" t="n">
        <v>22.6</v>
      </c>
    </row>
    <row r="1327">
      <c r="A1327" s="65" t="inlineStr">
        <is>
          <t>749940</t>
        </is>
      </c>
      <c r="B1327" s="68" t="inlineStr">
        <is>
          <t>도매 및 소매업</t>
        </is>
      </c>
      <c r="C1327" s="68" t="inlineStr">
        <is>
          <t>도매 및 상품 중개업</t>
        </is>
      </c>
      <c r="D1327" s="68" t="inlineStr">
        <is>
          <t>재생용 재료 및 기타 상품 전문 도매업</t>
        </is>
      </c>
      <c r="E1327" s="68" t="inlineStr">
        <is>
          <t>재생용 재료 수집 및 판매업</t>
        </is>
      </c>
      <c r="F1327" s="68" t="inlineStr">
        <is>
          <t>◦국세청고시에 따라 공병보증금제실시
 주류제조업자로부터 공병수집상이 지급 받는 공병 취급 수수료</t>
        </is>
      </c>
      <c r="G1327" s="90" t="n">
        <v>83.40000000000001</v>
      </c>
      <c r="H1327" s="90" t="n">
        <v>0</v>
      </c>
      <c r="I1327" s="90" t="n">
        <v>22.3</v>
      </c>
    </row>
    <row r="1328">
      <c r="A1328" s="65" t="inlineStr">
        <is>
          <t>749941</t>
        </is>
      </c>
      <c r="B1328" s="68" t="inlineStr">
        <is>
          <t>전문, 과학 및 기술서비스업</t>
        </is>
      </c>
      <c r="C1328" s="68" t="inlineStr">
        <is>
          <t>기타 전문, 과학 및 기술 서비스업</t>
        </is>
      </c>
      <c r="D1328" s="68" t="inlineStr">
        <is>
          <t>그 외 기타 전문, 과학 및 기술 서비스업</t>
        </is>
      </c>
      <c r="E1328" s="68" t="inlineStr">
        <is>
          <t>사업 및 무형 재산권 중개업</t>
        </is>
      </c>
      <c r="F1328" s="68" t="inlineStr">
        <is>
          <t>◦무형 재산권을 감정, 중개 및 알선하는 산업활동을 말한다.
&lt;예 시&gt;
·지적 재산권 감정
·복제권 감정 및 알선
·특허권, 저작권 구매 및 임차 중개
&lt;제 외&gt;
·무형 재산권 임대(749934)
*사업 재산권 감정, 중개 및 알선(→749903)</t>
        </is>
      </c>
      <c r="G1328" s="90" t="n">
        <v>49.9</v>
      </c>
      <c r="H1328" s="90" t="n">
        <v>0</v>
      </c>
      <c r="I1328" s="90" t="n">
        <v>22</v>
      </c>
    </row>
    <row r="1329">
      <c r="A1329" s="65" t="inlineStr">
        <is>
          <t>749942</t>
        </is>
      </c>
      <c r="B1329" s="68" t="inlineStr">
        <is>
          <t>전문, 과학 및 기술서비스업</t>
        </is>
      </c>
      <c r="C1329" s="68" t="inlineStr">
        <is>
          <t>전문 서비스업</t>
        </is>
      </c>
      <c r="D1329" s="68" t="inlineStr">
        <is>
          <t>기타 전문 서비스업</t>
        </is>
      </c>
      <c r="E1329" s="68" t="inlineStr">
        <is>
          <t>기타 전문 서비스업</t>
        </is>
      </c>
      <c r="F1329" s="68" t="inlineStr">
        <is>
          <t>◦전문 지식이 요청되는 서비스 제공과 관련하여 사업계획 수립, 전문인력 확보 및 조직 관리, 회계 관리업무 등을 총괄적으로 수행하는 서비스 산업활동을 말한다. 부수적으로 지식재산권 취득 및 관리, 시장 및 여론 조사, 자문 및 컨설팅, 기술이전 지원업무 등을 수행할 수 있다.
&lt;예 시&gt;
·산학협력단
·각종 연구개발 사무관리 기구 및 단체</t>
        </is>
      </c>
      <c r="G1329" s="90" t="n">
        <v>81.90000000000001</v>
      </c>
      <c r="H1329" s="90" t="n">
        <v>0</v>
      </c>
      <c r="I1329" s="90" t="n">
        <v>25.2</v>
      </c>
    </row>
    <row r="1330">
      <c r="A1330" s="65" t="inlineStr">
        <is>
          <t>804101</t>
        </is>
      </c>
      <c r="B1330" s="68" t="inlineStr">
        <is>
          <t>교육서비스업</t>
        </is>
      </c>
      <c r="C1330" s="68" t="inlineStr">
        <is>
          <t>교육 서비스업</t>
        </is>
      </c>
      <c r="D1330" s="68" t="inlineStr">
        <is>
          <t>외국인학교</t>
        </is>
      </c>
      <c r="E1330" s="68" t="inlineStr">
        <is>
          <t>외국인학교</t>
        </is>
      </c>
      <c r="F1330" s="68" t="inlineStr">
        <is>
          <t>◦외국에서 일정 기간 거주하고 귀국한 내국인, 국적 취득자 및 외국인 자녀를 교육하기 위하여 설립된 교육기관을 말한다. 외국인학교는 유치원, 초등학교, 중학교, 고등학교 과정을 통합하여 운영할 수 있다.</t>
        </is>
      </c>
      <c r="G1330" s="90" t="n">
        <v>0</v>
      </c>
      <c r="H1330" s="90" t="n">
        <v>0</v>
      </c>
      <c r="I1330" s="90" t="n">
        <v>0</v>
      </c>
    </row>
    <row r="1331">
      <c r="A1331" s="65" t="inlineStr">
        <is>
          <t>809001</t>
        </is>
      </c>
      <c r="B1331" s="68" t="inlineStr">
        <is>
          <t>교육서비스업</t>
        </is>
      </c>
      <c r="C1331" s="68" t="inlineStr">
        <is>
          <t>교육 서비스업</t>
        </is>
      </c>
      <c r="D1331" s="68" t="inlineStr">
        <is>
          <t>기술 및 직업 훈련학원</t>
        </is>
      </c>
      <c r="E1331" s="68" t="inlineStr">
        <is>
          <t>운전학원</t>
        </is>
      </c>
      <c r="F1331" s="68" t="inlineStr">
        <is>
          <t>◦중장비, 비행기, 선박 등의 운송장비에 대한 운전교습을 수행하는 산업활동을 말한다.
&lt;예 시&gt;
·중장비 운전학원
·항공 훈련학원
·선박 운전학원
&lt;제 외&gt;
*자동차 운송장비에 대한 운전교습(→809011)</t>
        </is>
      </c>
      <c r="G1331" s="90" t="n">
        <v>80.2</v>
      </c>
      <c r="H1331" s="90" t="n">
        <v>0</v>
      </c>
      <c r="I1331" s="90" t="n">
        <v>29.8</v>
      </c>
    </row>
    <row r="1332">
      <c r="A1332" s="65" t="inlineStr">
        <is>
          <t>809002</t>
        </is>
      </c>
      <c r="B1332" s="68" t="inlineStr">
        <is>
          <t>교육서비스업</t>
        </is>
      </c>
      <c r="C1332" s="68" t="inlineStr">
        <is>
          <t>교육 서비스업</t>
        </is>
      </c>
      <c r="D1332" s="68" t="inlineStr">
        <is>
          <t>기술 및 직업 훈련학원</t>
        </is>
      </c>
      <c r="E1332" s="68" t="inlineStr">
        <is>
          <t>기타 기술 및 직업 훈련학원</t>
        </is>
      </c>
      <c r="F1332" s="68" t="inlineStr">
        <is>
          <t>◦기타의 기술 및 직업 분야에 대하여 전문적인 훈련을 수행하는 산업활동을 말한다.
&lt;예 시&gt;
·통신 기술학원
·자동차 정비학원
·양재학원
·미용학원
·직업 훈련원
·모형 제작학원
·체육 전문강사 교육
·비서학원
&lt;제 외&gt;
*가정계열학원(→809010)</t>
        </is>
      </c>
      <c r="G1332" s="90" t="n">
        <v>83.3</v>
      </c>
      <c r="H1332" s="90" t="n">
        <v>0</v>
      </c>
      <c r="I1332" s="90" t="n">
        <v>21.6</v>
      </c>
    </row>
    <row r="1333">
      <c r="A1333" s="65" t="inlineStr">
        <is>
          <t>809003</t>
        </is>
      </c>
      <c r="B1333" s="68" t="inlineStr">
        <is>
          <t>교육서비스업</t>
        </is>
      </c>
      <c r="C1333" s="68" t="inlineStr">
        <is>
          <t>교육 서비스업</t>
        </is>
      </c>
      <c r="D1333" s="68" t="inlineStr">
        <is>
          <t>스포츠 및 레크리에이션 교육기관</t>
        </is>
      </c>
      <c r="E1333" s="68" t="inlineStr">
        <is>
          <t>레크리에이션 교육기관</t>
        </is>
      </c>
      <c r="F1333" s="68" t="inlineStr">
        <is>
          <t>◦바둑교육 등 레크리에이션에 관한 교육을 하는 산업활동을 말한다.
&lt;예 시&gt;
·바둑 교실
&lt;제 외&gt;
*댄스교습소(→921902)</t>
        </is>
      </c>
      <c r="G1333" s="90" t="n">
        <v>84.09999999999999</v>
      </c>
      <c r="H1333" s="90" t="n">
        <v>0</v>
      </c>
      <c r="I1333" s="90" t="n">
        <v>21.8</v>
      </c>
    </row>
    <row r="1334">
      <c r="A1334" s="65" t="inlineStr">
        <is>
          <t>809004</t>
        </is>
      </c>
      <c r="B1334" s="68" t="inlineStr">
        <is>
          <t>교육서비스업</t>
        </is>
      </c>
      <c r="C1334" s="68" t="inlineStr">
        <is>
          <t>교육 서비스업</t>
        </is>
      </c>
      <c r="D1334" s="68" t="inlineStr">
        <is>
          <t>일반 교습학원</t>
        </is>
      </c>
      <c r="E1334" s="68" t="inlineStr">
        <is>
          <t>일반 교과학원</t>
        </is>
      </c>
      <c r="F1334" s="68" t="inlineStr">
        <is>
          <t>◦체육계열 입시 전문학원</t>
        </is>
      </c>
      <c r="G1334" s="90" t="n">
        <v>83.3</v>
      </c>
      <c r="H1334" s="90" t="n">
        <v>0</v>
      </c>
      <c r="I1334" s="90" t="n">
        <v>23.6</v>
      </c>
    </row>
    <row r="1335">
      <c r="A1335" s="65" t="inlineStr">
        <is>
          <t>809005</t>
        </is>
      </c>
      <c r="B1335" s="68" t="inlineStr">
        <is>
          <t>교육서비스업</t>
        </is>
      </c>
      <c r="C1335" s="68" t="inlineStr">
        <is>
          <t>교육 서비스업</t>
        </is>
      </c>
      <c r="D1335" s="68" t="inlineStr">
        <is>
          <t>일반 교습학원</t>
        </is>
      </c>
      <c r="E1335" s="68" t="inlineStr">
        <is>
          <t>일반 교과학원</t>
        </is>
      </c>
      <c r="F1335" s="68" t="inlineStr">
        <is>
          <t>◦상급학교 진학 및 보습을 위한 일반 교과과정을 교육하는 산업활동을 말한다.
&lt;예 시&gt;
·입시학원
·일반교과 보습학원
·학생 대상 속셈학원(성인 대상 경영ㆍ사무 목적인 경우 809022)
&lt;제 외&gt;
·기술관련 자격증 시험교육(해당 기술관련 산업활동으로 분류)
·통신 및 인터넷을 통한 일반교과 교육(809016)
·음악, 무용, 미술학원(예체능학원 해당 산업활동으로 분류)
*체육계열 입시 전문학원(→809004)
*예능계열 입시 전문학원(→809012)
*과외수업지도, 예능실기지도 등(→809007)</t>
        </is>
      </c>
      <c r="G1335" s="90" t="n">
        <v>80</v>
      </c>
      <c r="H1335" s="90" t="n">
        <v>0</v>
      </c>
      <c r="I1335" s="90" t="n">
        <v>22.6</v>
      </c>
    </row>
    <row r="1336">
      <c r="A1336" s="65" t="inlineStr">
        <is>
          <t>809006</t>
        </is>
      </c>
      <c r="B1336" s="68" t="inlineStr">
        <is>
          <t>예술, 스포츠 및 여가관련 서비스업</t>
        </is>
      </c>
      <c r="C1336" s="68" t="inlineStr">
        <is>
          <t>스포츠 및 오락관련 서비스업</t>
        </is>
      </c>
      <c r="D1336" s="68" t="inlineStr">
        <is>
          <t>기타 스포츠시설 운영업</t>
        </is>
      </c>
      <c r="E1336" s="68" t="inlineStr">
        <is>
          <t>그 외 기타 스포츠시설 운영업</t>
        </is>
      </c>
      <c r="F1336" s="68" t="inlineStr">
        <is>
          <t>◦정구장, 테니스장
 ·정구, 배드민턴 기타 라켓게임만 주로 운영되는 설비 운영업
◦탁구장</t>
        </is>
      </c>
      <c r="G1336" s="90" t="n">
        <v>87.2</v>
      </c>
      <c r="H1336" s="90" t="n">
        <v>0</v>
      </c>
      <c r="I1336" s="90" t="n">
        <v>24.5</v>
      </c>
    </row>
    <row r="1337">
      <c r="A1337" s="65" t="inlineStr">
        <is>
          <t>809007</t>
        </is>
      </c>
      <c r="B1337" s="68" t="inlineStr">
        <is>
          <t>교육서비스업</t>
        </is>
      </c>
      <c r="C1337" s="68" t="inlineStr">
        <is>
          <t>교육 서비스업</t>
        </is>
      </c>
      <c r="D1337" s="68" t="inlineStr">
        <is>
          <t>일반 교습학원, 예술학원, 외국어학원 및 기타 교습학원</t>
        </is>
      </c>
      <c r="E1337" s="68" t="inlineStr">
        <is>
          <t>일반 교과학원, 음악학원, 미술학원, 기타 예술학원, 외국어학원</t>
        </is>
      </c>
      <c r="F1337" s="68" t="inlineStr">
        <is>
          <t>◦독립된 자격으로 정규학교와 공인학원 강의 이외의 과외수업지도, 예능실기지도 등을 행하고 얻은 수입금액
 -「학원의 설립·운영 및 과외교습에 관한 법률」 제6조에 따라 등록한 학원에서 이루어지는 변칙적인 과외교습행위를 포함
&lt;예 시&gt;
·공부방, 교습소                         ·학습향상클리닉(입시교육위주)</t>
        </is>
      </c>
      <c r="G1337" s="90" t="n">
        <v>78</v>
      </c>
      <c r="H1337" s="90" t="n">
        <v>0</v>
      </c>
      <c r="I1337" s="90" t="n">
        <v>22.3</v>
      </c>
    </row>
    <row r="1338">
      <c r="A1338" s="65" t="inlineStr">
        <is>
          <t>809009</t>
        </is>
      </c>
      <c r="B1338" s="68" t="inlineStr">
        <is>
          <t>교육서비스업</t>
        </is>
      </c>
      <c r="C1338" s="68" t="inlineStr">
        <is>
          <t>교육 서비스업</t>
        </is>
      </c>
      <c r="D1338" s="68" t="inlineStr">
        <is>
          <t>예술학원</t>
        </is>
      </c>
      <c r="E1338" s="68" t="inlineStr">
        <is>
          <t>음악학원</t>
        </is>
      </c>
      <c r="F1338" s="68" t="inlineStr">
        <is>
          <t>◦피아노, 바이올린, 실용 음악 등 음악에 관한 이론과 실기 등을 교습하는 산업활동을 말한다.
&lt;예 시&gt;
·음악학원
·피아노, 바이올린 교습학원
·실용 음악 교습학원
&lt;제 외&gt;
*독립된 자격의 과외교습(음악실기지도)(→809007)</t>
        </is>
      </c>
      <c r="G1338" s="90" t="n">
        <v>81.8</v>
      </c>
      <c r="H1338" s="90" t="n">
        <v>0</v>
      </c>
      <c r="I1338" s="90" t="n">
        <v>24.8</v>
      </c>
    </row>
    <row r="1339">
      <c r="A1339" s="65" t="inlineStr">
        <is>
          <t>809010</t>
        </is>
      </c>
      <c r="B1339" s="68" t="inlineStr">
        <is>
          <t>교육서비스업</t>
        </is>
      </c>
      <c r="C1339" s="68" t="inlineStr">
        <is>
          <t>교육 서비스업</t>
        </is>
      </c>
      <c r="D1339" s="68" t="inlineStr">
        <is>
          <t>기술 및 직업 훈련학원</t>
        </is>
      </c>
      <c r="E1339" s="68" t="inlineStr">
        <is>
          <t>기타 기술 및 직업 훈련학원</t>
        </is>
      </c>
      <c r="F1339" s="68" t="inlineStr">
        <is>
          <t>◦가정계열학원
&lt;예 시&gt;
·요리, 꽃꽂이, 꽃기예(조화)
·pop예쁜글씨, 퀼트 교육
·다도(茶道)교습소, 예절교육</t>
        </is>
      </c>
      <c r="G1339" s="90" t="n">
        <v>83.8</v>
      </c>
      <c r="H1339" s="90" t="n">
        <v>0</v>
      </c>
      <c r="I1339" s="90" t="n">
        <v>19.4</v>
      </c>
    </row>
    <row r="1340">
      <c r="A1340" s="65" t="inlineStr">
        <is>
          <t>809011</t>
        </is>
      </c>
      <c r="B1340" s="68" t="inlineStr">
        <is>
          <t>교육서비스업</t>
        </is>
      </c>
      <c r="C1340" s="68" t="inlineStr">
        <is>
          <t>교육 서비스업</t>
        </is>
      </c>
      <c r="D1340" s="68" t="inlineStr">
        <is>
          <t>기술 및 직업 훈련학원</t>
        </is>
      </c>
      <c r="E1340" s="68" t="inlineStr">
        <is>
          <t>운전학원</t>
        </is>
      </c>
      <c r="F1340" s="68" t="inlineStr">
        <is>
          <t>◦자동차 운송장비에 대한 운전교습을 수행하는 산업활동을 말한다.
&lt;예 시&gt;
·자동차 운전학원
&lt;제 외&gt;
*중장비, 비행기, 선박 등의 운송장비에 대한 운전교습(→809001)</t>
        </is>
      </c>
      <c r="G1340" s="90" t="n">
        <v>80.2</v>
      </c>
      <c r="H1340" s="90" t="n">
        <v>0</v>
      </c>
      <c r="I1340" s="90" t="n">
        <v>30.8</v>
      </c>
    </row>
    <row r="1341">
      <c r="A1341" s="65" t="inlineStr">
        <is>
          <t>809012</t>
        </is>
      </c>
      <c r="B1341" s="68" t="inlineStr">
        <is>
          <t>교육서비스업</t>
        </is>
      </c>
      <c r="C1341" s="68" t="inlineStr">
        <is>
          <t>교육 서비스업</t>
        </is>
      </c>
      <c r="D1341" s="68" t="inlineStr">
        <is>
          <t>일반 교습학원</t>
        </is>
      </c>
      <c r="E1341" s="68" t="inlineStr">
        <is>
          <t>일반 교과학원</t>
        </is>
      </c>
      <c r="F1341" s="68" t="inlineStr">
        <is>
          <t>◦예능계열 입시 전문학원</t>
        </is>
      </c>
      <c r="G1341" s="90" t="n">
        <v>81.90000000000001</v>
      </c>
      <c r="H1341" s="90" t="n">
        <v>0</v>
      </c>
      <c r="I1341" s="90" t="n">
        <v>25.1</v>
      </c>
    </row>
    <row r="1342">
      <c r="A1342" s="65" t="inlineStr">
        <is>
          <t>809013</t>
        </is>
      </c>
      <c r="B1342" s="68" t="inlineStr">
        <is>
          <t>교육서비스업</t>
        </is>
      </c>
      <c r="C1342" s="68" t="inlineStr">
        <is>
          <t>교육 서비스업</t>
        </is>
      </c>
      <c r="D1342" s="68" t="inlineStr">
        <is>
          <t>그 외 기타 교육기관</t>
        </is>
      </c>
      <c r="E1342" s="68" t="inlineStr">
        <is>
          <t>컴퓨터 학원</t>
        </is>
      </c>
      <c r="F1342" s="68" t="inlineStr">
        <is>
          <t>◦컴퓨터 프로그램 작성, 컴퓨터 작동, 근거리 통신망 운영과 같은 컴퓨터교육을 수행하는 산업활동을 말한다. 교육은 학원뿐만 아니라, 교육생이 있는 시설에서도 이루어질 수 있다.</t>
        </is>
      </c>
      <c r="G1342" s="90" t="n">
        <v>82.7</v>
      </c>
      <c r="H1342" s="90" t="n">
        <v>0</v>
      </c>
      <c r="I1342" s="90" t="n">
        <v>23.4</v>
      </c>
    </row>
    <row r="1343">
      <c r="A1343" s="65" t="inlineStr">
        <is>
          <t>809014</t>
        </is>
      </c>
      <c r="B1343" s="68" t="inlineStr">
        <is>
          <t>교육서비스업</t>
        </is>
      </c>
      <c r="C1343" s="68" t="inlineStr">
        <is>
          <t>교육 서비스업</t>
        </is>
      </c>
      <c r="D1343" s="68" t="inlineStr">
        <is>
          <t>스포츠 및 레크리에이션 교육기관</t>
        </is>
      </c>
      <c r="E1343" s="68" t="inlineStr">
        <is>
          <t>태권도 및 무술 교육기관</t>
        </is>
      </c>
      <c r="F1343" s="68" t="inlineStr">
        <is>
          <t>◦태권도, 유도, 권투 등 각종 무술 관련 스포츠에 관한 교육을 하는 산업활동을 말한다.
&lt;예 시&gt;
·태권도학원</t>
        </is>
      </c>
      <c r="G1343" s="90" t="n">
        <v>81.09999999999999</v>
      </c>
      <c r="H1343" s="90" t="n">
        <v>0</v>
      </c>
      <c r="I1343" s="90" t="n">
        <v>22.6</v>
      </c>
    </row>
    <row r="1344">
      <c r="A1344" s="65" t="inlineStr">
        <is>
          <t>809015</t>
        </is>
      </c>
      <c r="B1344" s="68" t="inlineStr">
        <is>
          <t>교육서비스업</t>
        </is>
      </c>
      <c r="C1344" s="68" t="inlineStr">
        <is>
          <t>교육 서비스업</t>
        </is>
      </c>
      <c r="D1344" s="68" t="inlineStr">
        <is>
          <t>스포츠 및 레크리에이션 교육기관</t>
        </is>
      </c>
      <c r="E1344" s="68" t="inlineStr">
        <is>
          <t>기타 스포츠 교육기관</t>
        </is>
      </c>
      <c r="F1344" s="68" t="inlineStr">
        <is>
          <t>◦축구, 야구 등 구기 종목과 체조, 수영 등 개인 종목 스포츠에 관한 교육을 하는 산업활동을 말한다.
&lt;예 시&gt;
·축구 교실
·요가학원</t>
        </is>
      </c>
      <c r="G1344" s="90" t="n">
        <v>81.09999999999999</v>
      </c>
      <c r="H1344" s="90" t="n">
        <v>0</v>
      </c>
      <c r="I1344" s="90" t="n">
        <v>24</v>
      </c>
    </row>
    <row r="1345">
      <c r="A1345" s="65" t="inlineStr">
        <is>
          <t>809016</t>
        </is>
      </c>
      <c r="B1345" s="68" t="inlineStr">
        <is>
          <t>교육서비스업</t>
        </is>
      </c>
      <c r="C1345" s="68" t="inlineStr">
        <is>
          <t>교육 서비스업</t>
        </is>
      </c>
      <c r="D1345" s="68" t="inlineStr">
        <is>
          <t>일반 교습학원</t>
        </is>
      </c>
      <c r="E1345" s="68" t="inlineStr">
        <is>
          <t>온라인 교육학원</t>
        </is>
      </c>
      <c r="F1345" s="68" t="inlineStr">
        <is>
          <t>◦강의 내용물을 제작, 보유하고 통신 및 인터넷 방법으로 일반 교과 과정을 교육하는 산업활동을 말한다. 온라인 교육과 강의실 직접 교육을 병행하는 경우는 직접 강의하는 교육 내용에 따라 분류한다.
&lt;예 시&gt;
·통신 이용 교육
·인터넷 이용 교육
&lt;제 외&gt;
·정규 교과과정의 통신교육(해당 교육서비스업의 산업활동으로 분류)</t>
        </is>
      </c>
      <c r="G1345" s="90" t="n">
        <v>83.2</v>
      </c>
      <c r="H1345" s="90" t="n">
        <v>0</v>
      </c>
      <c r="I1345" s="90" t="n">
        <v>31.1</v>
      </c>
    </row>
    <row r="1346">
      <c r="A1346" s="65" t="inlineStr">
        <is>
          <t>809017</t>
        </is>
      </c>
      <c r="B1346" s="68" t="inlineStr">
        <is>
          <t>교육서비스업</t>
        </is>
      </c>
      <c r="C1346" s="68" t="inlineStr">
        <is>
          <t>교육 서비스업</t>
        </is>
      </c>
      <c r="D1346" s="68" t="inlineStr">
        <is>
          <t>외국어학원 및 기타 교습학원</t>
        </is>
      </c>
      <c r="E1346" s="68" t="inlineStr">
        <is>
          <t>외국어학원</t>
        </is>
      </c>
      <c r="F1346" s="68" t="inlineStr">
        <is>
          <t>◦회화 또는 시험을 위하여 외국어 강습을 수행하는 산업활동을 말한다. 외국인을 대상으로 하는 한국어학원도 포함한다.
&lt;예 시&gt;
·외국어학원
·회화학원
&lt;제 외&gt;
·언어 교정학원(809022)
*독립된 자격의 과외교습(회화 또는 외국어)(→809007)</t>
        </is>
      </c>
      <c r="G1346" s="90" t="n">
        <v>83.2</v>
      </c>
      <c r="H1346" s="90" t="n">
        <v>0</v>
      </c>
      <c r="I1346" s="90" t="n">
        <v>23.7</v>
      </c>
    </row>
    <row r="1347">
      <c r="A1347" s="65" t="inlineStr">
        <is>
          <t>809018</t>
        </is>
      </c>
      <c r="B1347" s="68" t="inlineStr">
        <is>
          <t>교육서비스업</t>
        </is>
      </c>
      <c r="C1347" s="68" t="inlineStr">
        <is>
          <t>교육 서비스업</t>
        </is>
      </c>
      <c r="D1347" s="68" t="inlineStr">
        <is>
          <t>외국어학원 및 기타 교습학원</t>
        </is>
      </c>
      <c r="E1347" s="68" t="inlineStr">
        <is>
          <t>기타 교습학원</t>
        </is>
      </c>
      <c r="F1347" s="68" t="inlineStr">
        <is>
          <t>◦취업 및 각종 전문 시험을 위한 교과를 교육하는 산업활동을 말한다.
&lt;예 시&gt;
·고시학원</t>
        </is>
      </c>
      <c r="G1347" s="90" t="n">
        <v>79.90000000000001</v>
      </c>
      <c r="H1347" s="90" t="n">
        <v>0</v>
      </c>
      <c r="I1347" s="90" t="n">
        <v>24.4</v>
      </c>
    </row>
    <row r="1348">
      <c r="A1348" s="65" t="inlineStr">
        <is>
          <t>809019</t>
        </is>
      </c>
      <c r="B1348" s="68" t="inlineStr">
        <is>
          <t>예술, 스포츠 및 여가관련 서비스업</t>
        </is>
      </c>
      <c r="C1348" s="68" t="inlineStr">
        <is>
          <t>스포츠 및 오락관련 서비스업</t>
        </is>
      </c>
      <c r="D1348" s="68" t="inlineStr">
        <is>
          <t>그 외 기타 오락관련 서비스업</t>
        </is>
      </c>
      <c r="E1348" s="68" t="inlineStr">
        <is>
          <t>기원 운영업</t>
        </is>
      </c>
      <c r="F1348" s="68" t="inlineStr">
        <is>
          <t>◦바둑, 장기, 체스, 카드 놀이 및 유사 경기시설을 운영하는 산업활동을 말한다.
&lt;제 외&gt;
·교육 목적의 바둑교실 운영(809003)</t>
        </is>
      </c>
      <c r="G1348" s="90" t="n">
        <v>88.2</v>
      </c>
      <c r="H1348" s="90" t="n">
        <v>0</v>
      </c>
      <c r="I1348" s="90" t="n">
        <v>26.9</v>
      </c>
    </row>
    <row r="1349">
      <c r="A1349" s="65" t="inlineStr">
        <is>
          <t>809020</t>
        </is>
      </c>
      <c r="B1349" s="68" t="inlineStr">
        <is>
          <t>교육서비스업</t>
        </is>
      </c>
      <c r="C1349" s="68" t="inlineStr">
        <is>
          <t>교육 서비스업</t>
        </is>
      </c>
      <c r="D1349" s="68" t="inlineStr">
        <is>
          <t>예술학원</t>
        </is>
      </c>
      <c r="E1349" s="68" t="inlineStr">
        <is>
          <t>미술학원</t>
        </is>
      </c>
      <c r="F1349" s="68" t="inlineStr">
        <is>
          <t>◦소묘(스케치, 데생 등), 수채화, 정물화 등 미술에 관한 이론과 실기 등을 교습하는 산업활동을 말한다.
&lt;예 시&gt;
·미술학원
&lt;제 외&gt;
*독립된 자격의 과외교습(미술실기지도)(→809007)</t>
        </is>
      </c>
      <c r="G1349" s="90" t="n">
        <v>83.3</v>
      </c>
      <c r="H1349" s="90" t="n">
        <v>0</v>
      </c>
      <c r="I1349" s="90" t="n">
        <v>22.7</v>
      </c>
    </row>
    <row r="1350">
      <c r="A1350" s="65" t="inlineStr">
        <is>
          <t>809021</t>
        </is>
      </c>
      <c r="B1350" s="68" t="inlineStr">
        <is>
          <t>교육서비스업</t>
        </is>
      </c>
      <c r="C1350" s="68" t="inlineStr">
        <is>
          <t>교육 서비스업</t>
        </is>
      </c>
      <c r="D1350" s="68" t="inlineStr">
        <is>
          <t>예술학원</t>
        </is>
      </c>
      <c r="E1350" s="68" t="inlineStr">
        <is>
          <t>기타 예술학원</t>
        </is>
      </c>
      <c r="F1350" s="68" t="inlineStr">
        <is>
          <t>◦음악 및 미술 교습 이외에 연극, 무용 등 각종 예술에 관한 이론과 실기를 교습 하는 산업활동을 말한다.
&lt;예 시&gt;
·무용 및 댄스학원
·연기학원
·도예학원
&lt;제 외&gt;
*독립된 자격의 과외교습(예능실기지도)(→809007)</t>
        </is>
      </c>
      <c r="G1350" s="90" t="n">
        <v>83.90000000000001</v>
      </c>
      <c r="H1350" s="90" t="n">
        <v>0</v>
      </c>
      <c r="I1350" s="90" t="n">
        <v>24.4</v>
      </c>
    </row>
    <row r="1351">
      <c r="A1351" s="65" t="inlineStr">
        <is>
          <t>809022</t>
        </is>
      </c>
      <c r="B1351" s="68" t="inlineStr">
        <is>
          <t>교육서비스업</t>
        </is>
      </c>
      <c r="C1351" s="68" t="inlineStr">
        <is>
          <t>교육 서비스업</t>
        </is>
      </c>
      <c r="D1351" s="68" t="inlineStr">
        <is>
          <t>그 외 기타 교육기관</t>
        </is>
      </c>
      <c r="E1351" s="68" t="inlineStr">
        <is>
          <t>그 외 기타 분류 안된 교육기관</t>
        </is>
      </c>
      <c r="F1351" s="68" t="inlineStr">
        <is>
          <t>◦사무관련 교육학원 및 달리 분류되지 않은 교육기관을 말한다.
&lt;예 시&gt;
·속기학원
·사무 실무 교육
·속독학원
·경영관련 교육
·부기학원
·웅변학원
&lt;제 외&gt;
·무술 교육시설(809014)</t>
        </is>
      </c>
      <c r="G1351" s="90" t="n">
        <v>84.2</v>
      </c>
      <c r="H1351" s="90" t="n">
        <v>0</v>
      </c>
      <c r="I1351" s="90" t="n">
        <v>21.3</v>
      </c>
    </row>
    <row r="1352">
      <c r="A1352" s="65" t="inlineStr">
        <is>
          <t>851101</t>
        </is>
      </c>
      <c r="B1352" s="68" t="inlineStr">
        <is>
          <t>보건업 및 사회복지 서비스업</t>
        </is>
      </c>
      <c r="C1352" s="68" t="inlineStr">
        <is>
          <t>보건업</t>
        </is>
      </c>
      <c r="D1352" s="68" t="inlineStr">
        <is>
          <t>병원</t>
        </is>
      </c>
      <c r="E1352" s="68" t="inlineStr">
        <is>
          <t>요양병원</t>
        </is>
      </c>
      <c r="F1352" s="68" t="inlineStr">
        <is>
          <t>◦30인 이상의 입원시설을 갖추고 의사 또는 한의사가 노인성 질환자, 만성 질환자, 외과 수술 또는 상해 후 회복을 위한 환자 등 주로 장기 입원이 필요한 환자를 대상으로 진료 행위를 하는 의료기관을 말한다. 진료 및 요양을 위한 정신병원(50인 이상 병상 보유)과 일반병원 요건을 갖춘 장애인 의료 재활시설도 포함한다.
&lt;예 시&gt;
·요양병원
·정신병원
·병원급 장애인 의료 재활시설</t>
        </is>
      </c>
      <c r="G1352" s="90" t="n">
        <v>78.59999999999999</v>
      </c>
      <c r="H1352" s="90" t="n">
        <v>0</v>
      </c>
      <c r="I1352" s="90" t="n">
        <v>19</v>
      </c>
    </row>
    <row r="1353">
      <c r="A1353" s="65" t="inlineStr">
        <is>
          <t>851102</t>
        </is>
      </c>
      <c r="B1353" s="68" t="inlineStr">
        <is>
          <t>보건업 및 사회복지 서비스업</t>
        </is>
      </c>
      <c r="C1353" s="68" t="inlineStr">
        <is>
          <t>보건업</t>
        </is>
      </c>
      <c r="D1353" s="68" t="inlineStr">
        <is>
          <t>병원</t>
        </is>
      </c>
      <c r="E1353" s="68" t="inlineStr">
        <is>
          <t>치과병원</t>
        </is>
      </c>
      <c r="F1353" s="68" t="inlineStr">
        <is>
          <t>◦입원시설을 갖추고 치과의사가 입원환자 위주로 진료행위를 하는 의료기관을 말한다.</t>
        </is>
      </c>
      <c r="G1353" s="90" t="n">
        <v>63.6</v>
      </c>
      <c r="H1353" s="90" t="n">
        <v>0</v>
      </c>
      <c r="I1353" s="90" t="n">
        <v>21.5</v>
      </c>
    </row>
    <row r="1354">
      <c r="A1354" s="65" t="inlineStr">
        <is>
          <t>851103</t>
        </is>
      </c>
      <c r="B1354" s="68" t="inlineStr">
        <is>
          <t>보건업 및 사회복지 서비스업</t>
        </is>
      </c>
      <c r="C1354" s="68" t="inlineStr">
        <is>
          <t>보건업</t>
        </is>
      </c>
      <c r="D1354" s="68" t="inlineStr">
        <is>
          <t>병원</t>
        </is>
      </c>
      <c r="E1354" s="68" t="inlineStr">
        <is>
          <t>한방병원</t>
        </is>
      </c>
      <c r="F1354" s="68" t="inlineStr">
        <is>
          <t>◦30인 이상의 입원시설을 갖추고 한의사가 입원 환자 위주로 진료행위를 하는 의료기관을 말한다.</t>
        </is>
      </c>
      <c r="G1354" s="90" t="n">
        <v>67.5</v>
      </c>
      <c r="H1354" s="90" t="n">
        <v>0</v>
      </c>
      <c r="I1354" s="90" t="n">
        <v>23.4</v>
      </c>
    </row>
    <row r="1355">
      <c r="A1355" s="65" t="inlineStr">
        <is>
          <t>851113</t>
        </is>
      </c>
      <c r="B1355" s="68" t="inlineStr">
        <is>
          <t>보건업 및 사회복지 서비스업</t>
        </is>
      </c>
      <c r="C1355" s="68" t="inlineStr">
        <is>
          <t>보건업</t>
        </is>
      </c>
      <c r="D1355" s="68" t="inlineStr">
        <is>
          <t>병원</t>
        </is>
      </c>
      <c r="E1355" s="68" t="inlineStr">
        <is>
          <t>종합병원</t>
        </is>
      </c>
      <c r="F1355" s="68" t="inlineStr">
        <is>
          <t>◦100인 이상의 입원시설과 일정 수준 이상의 진료 과목을 설치하고 의사가 입원 환자 위주로 진료행위를 하는 의료기관을 말한다.</t>
        </is>
      </c>
      <c r="G1355" s="90" t="n">
        <v>78.59999999999999</v>
      </c>
      <c r="H1355" s="90" t="n">
        <v>0</v>
      </c>
      <c r="I1355" s="90" t="n">
        <v>19</v>
      </c>
    </row>
    <row r="1356">
      <c r="A1356" s="65" t="inlineStr">
        <is>
          <t>851114</t>
        </is>
      </c>
      <c r="B1356" s="68" t="inlineStr">
        <is>
          <t>보건업 및 사회복지 서비스업</t>
        </is>
      </c>
      <c r="C1356" s="68" t="inlineStr">
        <is>
          <t>보건업</t>
        </is>
      </c>
      <c r="D1356" s="68" t="inlineStr">
        <is>
          <t>병원</t>
        </is>
      </c>
      <c r="E1356" s="68" t="inlineStr">
        <is>
          <t>일반병원</t>
        </is>
      </c>
      <c r="F1356" s="68" t="inlineStr">
        <is>
          <t>◦30인 이상의 입원시설을 갖추고 의사가 입원 환자 위주로 진료행위를 하는 의료기관을 말한다.
&lt;예 시&gt;
·일반병원
·외과 전문병원
·내과 전문병원
·보건의료원
·군 및 교도소 병원
·결핵병원
·한센병원
·전염병원</t>
        </is>
      </c>
      <c r="G1356" s="90" t="n">
        <v>78.59999999999999</v>
      </c>
      <c r="H1356" s="90" t="n">
        <v>0</v>
      </c>
      <c r="I1356" s="90" t="n">
        <v>19</v>
      </c>
    </row>
    <row r="1357">
      <c r="A1357" s="65" t="inlineStr">
        <is>
          <t>851201</t>
        </is>
      </c>
      <c r="B1357" s="68" t="inlineStr">
        <is>
          <t>보건업 및 사회복지 서비스업</t>
        </is>
      </c>
      <c r="C1357" s="68" t="inlineStr">
        <is>
          <t>보건업</t>
        </is>
      </c>
      <c r="D1357" s="68" t="inlineStr">
        <is>
          <t>의원</t>
        </is>
      </c>
      <c r="E1357" s="68" t="inlineStr">
        <is>
          <t>일반의원</t>
        </is>
      </c>
      <c r="F1357" s="68" t="inlineStr">
        <is>
          <t>◦일반과, 내과, 소아과 전문의 또는 일반 의사가 외래 환자 위주로 진료 행위를 하는 의료기관을 말한다. 이 진료기관은 일정 규모 이하의 입원시설을 갖춘 경우도 있다.</t>
        </is>
      </c>
      <c r="G1357" s="90" t="n">
        <v>70.5</v>
      </c>
      <c r="H1357" s="90" t="n">
        <v>0</v>
      </c>
      <c r="I1357" s="90" t="n">
        <v>27.9</v>
      </c>
    </row>
    <row r="1358">
      <c r="A1358" s="65" t="inlineStr">
        <is>
          <t>851202</t>
        </is>
      </c>
      <c r="B1358" s="68" t="inlineStr">
        <is>
          <t>보건업 및 사회복지 서비스업</t>
        </is>
      </c>
      <c r="C1358" s="68" t="inlineStr">
        <is>
          <t>보건업</t>
        </is>
      </c>
      <c r="D1358" s="68" t="inlineStr">
        <is>
          <t>의원</t>
        </is>
      </c>
      <c r="E1358" s="68" t="inlineStr">
        <is>
          <t>일반의원</t>
        </is>
      </c>
      <c r="F1358" s="68" t="inlineStr">
        <is>
          <t>◦일반외과, 정형외과, 항문과, 신경외과 전문의 또는 일반 의사가 외래 환자 위주로 진료 행위를 하는 의료기관을 말한다. 이 진료기관은 일정 규모 이하의 입원시설을 갖춘 경우도 있다.</t>
        </is>
      </c>
      <c r="G1358" s="90" t="n">
        <v>74.8</v>
      </c>
      <c r="H1358" s="90" t="n">
        <v>0</v>
      </c>
      <c r="I1358" s="90" t="n">
        <v>27.5</v>
      </c>
    </row>
    <row r="1359">
      <c r="A1359" s="65" t="inlineStr">
        <is>
          <t>851203</t>
        </is>
      </c>
      <c r="B1359" s="68" t="inlineStr">
        <is>
          <t>보건업 및 사회복지 서비스업</t>
        </is>
      </c>
      <c r="C1359" s="68" t="inlineStr">
        <is>
          <t>보건업</t>
        </is>
      </c>
      <c r="D1359" s="68" t="inlineStr">
        <is>
          <t>의원</t>
        </is>
      </c>
      <c r="E1359" s="68" t="inlineStr">
        <is>
          <t>일반의원</t>
        </is>
      </c>
      <c r="F1359" s="68" t="inlineStr">
        <is>
          <t>◦신경과, 정신과, 신경정신과 전문의 또는 일반 의사가 외래 환자 위주로 진료 행위를 하는 의료기관을 말한다. 이 진료기관은 일정 규모 이하의 입원시설을 갖춘 경우도 있다.</t>
        </is>
      </c>
      <c r="G1359" s="90" t="n">
        <v>73.90000000000001</v>
      </c>
      <c r="H1359" s="90" t="n">
        <v>0</v>
      </c>
      <c r="I1359" s="90" t="n">
        <v>27</v>
      </c>
    </row>
    <row r="1360">
      <c r="A1360" s="65" t="inlineStr">
        <is>
          <t>851204</t>
        </is>
      </c>
      <c r="B1360" s="68" t="inlineStr">
        <is>
          <t>보건업 및 사회복지 서비스업</t>
        </is>
      </c>
      <c r="C1360" s="68" t="inlineStr">
        <is>
          <t>보건업</t>
        </is>
      </c>
      <c r="D1360" s="68" t="inlineStr">
        <is>
          <t>의원</t>
        </is>
      </c>
      <c r="E1360" s="68" t="inlineStr">
        <is>
          <t>일반의원</t>
        </is>
      </c>
      <c r="F1360" s="68" t="inlineStr">
        <is>
          <t>◦피부과, 비뇨기과 전문의 또는 일반 의사가 외래 환자 위주로 진료 행위를 하는 의료기관을 말한다. 이 진료기관은 일정 규모 이하의 입원시설을 갖춘 경우도 있다.</t>
        </is>
      </c>
      <c r="G1360" s="90" t="n">
        <v>68.3</v>
      </c>
      <c r="H1360" s="90" t="n">
        <v>0</v>
      </c>
      <c r="I1360" s="90" t="n">
        <v>25.9</v>
      </c>
    </row>
    <row r="1361">
      <c r="A1361" s="65" t="inlineStr">
        <is>
          <t>851205</t>
        </is>
      </c>
      <c r="B1361" s="68" t="inlineStr">
        <is>
          <t>보건업 및 사회복지 서비스업</t>
        </is>
      </c>
      <c r="C1361" s="68" t="inlineStr">
        <is>
          <t>보건업</t>
        </is>
      </c>
      <c r="D1361" s="68" t="inlineStr">
        <is>
          <t>의원</t>
        </is>
      </c>
      <c r="E1361" s="68" t="inlineStr">
        <is>
          <t>일반의원</t>
        </is>
      </c>
      <c r="F1361" s="68" t="inlineStr">
        <is>
          <t>◦안과 전문의 또는 일반 의사가 외래 환자 위주로 진료 행위를 하는 의료기관을 말한다. 이 진료기관은 일정 규모 이하의 입원시설을 갖춘 경우도 있다.</t>
        </is>
      </c>
      <c r="G1361" s="90" t="n">
        <v>69.5</v>
      </c>
      <c r="H1361" s="90" t="n">
        <v>0</v>
      </c>
      <c r="I1361" s="90" t="n">
        <v>28.7</v>
      </c>
    </row>
    <row r="1362">
      <c r="A1362" s="65" t="inlineStr">
        <is>
          <t>851206</t>
        </is>
      </c>
      <c r="B1362" s="68" t="inlineStr">
        <is>
          <t>보건업 및 사회복지 서비스업</t>
        </is>
      </c>
      <c r="C1362" s="68" t="inlineStr">
        <is>
          <t>보건업</t>
        </is>
      </c>
      <c r="D1362" s="68" t="inlineStr">
        <is>
          <t>의원</t>
        </is>
      </c>
      <c r="E1362" s="68" t="inlineStr">
        <is>
          <t>일반의원</t>
        </is>
      </c>
      <c r="F1362" s="68" t="inlineStr">
        <is>
          <t>◦이비인후과 전문의 또는 일반 의사가 외래 환자 위주로 진료 행위를 하는 의료기관을 말한다. 이 진료기관은 일정 규모 이하의 입원시설을 갖춘 경우도 있다.</t>
        </is>
      </c>
      <c r="G1362" s="90" t="n">
        <v>73.09999999999999</v>
      </c>
      <c r="H1362" s="90" t="n">
        <v>0</v>
      </c>
      <c r="I1362" s="90" t="n">
        <v>31</v>
      </c>
    </row>
    <row r="1363">
      <c r="A1363" s="65" t="inlineStr">
        <is>
          <t>851207</t>
        </is>
      </c>
      <c r="B1363" s="68" t="inlineStr">
        <is>
          <t>보건업 및 사회복지 서비스업</t>
        </is>
      </c>
      <c r="C1363" s="68" t="inlineStr">
        <is>
          <t>보건업</t>
        </is>
      </c>
      <c r="D1363" s="68" t="inlineStr">
        <is>
          <t>의원</t>
        </is>
      </c>
      <c r="E1363" s="68" t="inlineStr">
        <is>
          <t>일반의원</t>
        </is>
      </c>
      <c r="F1363" s="68" t="inlineStr">
        <is>
          <t>◦산부인과 전문의 또는 일반 의사가 외래 환자 위주로 진료 행위를 하는 의료기관을 말한다. 이 진료기관은 일정 규모 이하의 입원시설을 갖춘 경우도 있다.</t>
        </is>
      </c>
      <c r="G1363" s="90" t="n">
        <v>65</v>
      </c>
      <c r="H1363" s="90" t="n">
        <v>0</v>
      </c>
      <c r="I1363" s="90" t="n">
        <v>22.8</v>
      </c>
    </row>
    <row r="1364">
      <c r="A1364" s="65" t="inlineStr">
        <is>
          <t>851208</t>
        </is>
      </c>
      <c r="B1364" s="68" t="inlineStr">
        <is>
          <t>보건업 및 사회복지 서비스업</t>
        </is>
      </c>
      <c r="C1364" s="68" t="inlineStr">
        <is>
          <t>보건업</t>
        </is>
      </c>
      <c r="D1364" s="68" t="inlineStr">
        <is>
          <t>의원</t>
        </is>
      </c>
      <c r="E1364" s="68" t="inlineStr">
        <is>
          <t>방사선 진단 및 병리 검사 의원</t>
        </is>
      </c>
      <c r="F1364" s="68" t="inlineStr">
        <is>
          <t>◦의료 검사 및 진단 촬영을 포함한 진단 서비스를 제공하는 의료기관을 말한다.
&lt;예 시&gt;
·엑스레이 촬영 의원
·의료 검사 의원
&lt;제 외&gt;
·미생물 성분 분석(742203)
*세균검사(→851905)
*기타 병리실험 서비스(→851909)</t>
        </is>
      </c>
      <c r="G1364" s="90" t="n">
        <v>71.09999999999999</v>
      </c>
      <c r="H1364" s="90" t="n">
        <v>0</v>
      </c>
      <c r="I1364" s="90" t="n">
        <v>29.1</v>
      </c>
    </row>
    <row r="1365">
      <c r="A1365" s="65" t="inlineStr">
        <is>
          <t>851209</t>
        </is>
      </c>
      <c r="B1365" s="68" t="inlineStr">
        <is>
          <t>보건업 및 사회복지 서비스업</t>
        </is>
      </c>
      <c r="C1365" s="68" t="inlineStr">
        <is>
          <t>보건업</t>
        </is>
      </c>
      <c r="D1365" s="68" t="inlineStr">
        <is>
          <t>의원</t>
        </is>
      </c>
      <c r="E1365" s="68" t="inlineStr">
        <is>
          <t>일반의원</t>
        </is>
      </c>
      <c r="F1365" s="68" t="inlineStr">
        <is>
          <t>◦성형외과 전문의 또는 일반 의사가 외래 환자 위주로 진료 행위를 하는 의료기관을 말한다. 이 진료기관은 일정 규모 이하의 입원시설을 갖춘 경우도 있다.</t>
        </is>
      </c>
      <c r="G1365" s="90" t="n">
        <v>42.7</v>
      </c>
      <c r="H1365" s="90" t="n">
        <v>0</v>
      </c>
      <c r="I1365" s="90" t="n">
        <v>16.1</v>
      </c>
    </row>
    <row r="1366">
      <c r="A1366" s="65" t="inlineStr">
        <is>
          <t>851211</t>
        </is>
      </c>
      <c r="B1366" s="68" t="inlineStr">
        <is>
          <t>보건업 및 사회복지 서비스업</t>
        </is>
      </c>
      <c r="C1366" s="68" t="inlineStr">
        <is>
          <t>보건업</t>
        </is>
      </c>
      <c r="D1366" s="68" t="inlineStr">
        <is>
          <t>의원</t>
        </is>
      </c>
      <c r="E1366" s="68" t="inlineStr">
        <is>
          <t>치과의원</t>
        </is>
      </c>
      <c r="F1366" s="68" t="inlineStr">
        <is>
          <t>◦치과의사가 외래환자 위주로 진료행위를 하는 의료기관을 말한다.
&lt;제 외&gt;
·치과 병원(851102)</t>
        </is>
      </c>
      <c r="G1366" s="90" t="n">
        <v>61.7</v>
      </c>
      <c r="H1366" s="90" t="n">
        <v>0</v>
      </c>
      <c r="I1366" s="90" t="n">
        <v>17.2</v>
      </c>
    </row>
    <row r="1367">
      <c r="A1367" s="65" t="inlineStr">
        <is>
          <t>851212</t>
        </is>
      </c>
      <c r="B1367" s="68" t="inlineStr">
        <is>
          <t>보건업 및 사회복지 서비스업</t>
        </is>
      </c>
      <c r="C1367" s="68" t="inlineStr">
        <is>
          <t>보건업</t>
        </is>
      </c>
      <c r="D1367" s="68" t="inlineStr">
        <is>
          <t>의원</t>
        </is>
      </c>
      <c r="E1367" s="68" t="inlineStr">
        <is>
          <t>한의원</t>
        </is>
      </c>
      <c r="F1367" s="68" t="inlineStr">
        <is>
          <t>◦한의사가 외래환자 위주로 진료행위를 하는 의료기관을 말한다.
&lt;제 외&gt;
·한방병원(851103)</t>
        </is>
      </c>
      <c r="G1367" s="90" t="n">
        <v>56.6</v>
      </c>
      <c r="H1367" s="90" t="n">
        <v>0</v>
      </c>
      <c r="I1367" s="90" t="n">
        <v>18.9</v>
      </c>
    </row>
    <row r="1368">
      <c r="A1368" s="65" t="inlineStr">
        <is>
          <t>851219</t>
        </is>
      </c>
      <c r="B1368" s="68" t="inlineStr">
        <is>
          <t>보건업 및 사회복지 서비스업</t>
        </is>
      </c>
      <c r="C1368" s="68" t="inlineStr">
        <is>
          <t>보건업</t>
        </is>
      </c>
      <c r="D1368" s="68" t="inlineStr">
        <is>
          <t>의원</t>
        </is>
      </c>
      <c r="E1368" s="68" t="inlineStr">
        <is>
          <t>일반의원</t>
        </is>
      </c>
      <c r="F1368" s="68" t="inlineStr">
        <is>
          <t>◦마취과, 결핵과, 가정의학과, 재활의학과 등 달리 분류되지 않은 병과 전문의 또는 일반 의사가 외래 환자 위주로 진료 행위를 하는 의료기관을 말한다. 이 진료기관은 일정 규모 이하의 입원시설을 갖춘 경우도 있다.</t>
        </is>
      </c>
      <c r="G1368" s="90" t="n">
        <v>67.09999999999999</v>
      </c>
      <c r="H1368" s="90" t="n">
        <v>0</v>
      </c>
      <c r="I1368" s="90" t="n">
        <v>15</v>
      </c>
    </row>
    <row r="1369">
      <c r="A1369" s="65" t="inlineStr">
        <is>
          <t>851901</t>
        </is>
      </c>
      <c r="B1369" s="68" t="inlineStr">
        <is>
          <t>보건업 및 사회복지 서비스업</t>
        </is>
      </c>
      <c r="C1369" s="68" t="inlineStr">
        <is>
          <t>보건업</t>
        </is>
      </c>
      <c r="D1369" s="68" t="inlineStr">
        <is>
          <t>기타 보건업</t>
        </is>
      </c>
      <c r="E1369" s="68" t="inlineStr">
        <is>
          <t>그 외 기타 보건업</t>
        </is>
      </c>
      <c r="F1369" s="68" t="inlineStr">
        <is>
          <t>◦조산소, 조산원(독립된 간호사 포함)</t>
        </is>
      </c>
      <c r="G1369" s="90" t="n">
        <v>75.2</v>
      </c>
      <c r="H1369" s="90" t="n">
        <v>0</v>
      </c>
      <c r="I1369" s="90" t="n">
        <v>15</v>
      </c>
    </row>
    <row r="1370">
      <c r="A1370" s="65" t="inlineStr">
        <is>
          <t>851902</t>
        </is>
      </c>
      <c r="B1370" s="68" t="inlineStr">
        <is>
          <t>보건업 및 사회복지 서비스업</t>
        </is>
      </c>
      <c r="C1370" s="68" t="inlineStr">
        <is>
          <t>보건업</t>
        </is>
      </c>
      <c r="D1370" s="68" t="inlineStr">
        <is>
          <t>기타 보건업</t>
        </is>
      </c>
      <c r="E1370" s="68" t="inlineStr">
        <is>
          <t>유사 의료업</t>
        </is>
      </c>
      <c r="F1370" s="68" t="inlineStr">
        <is>
          <t>◦침구 치료 등의 유사 의료 행위를 수행하는 산업활동을 말한다.
&lt;예 시&gt;
·침술원(침사, 구사)
&lt;제 외&gt;
*안마사(안마원 또는 안마시술소 미개설)(→851903)
*안마시술소 운영(→851908)
*안마원 운영(→851912)
*지압 치료 등의 유사 의료 행위(→851904)</t>
        </is>
      </c>
      <c r="G1370" s="90" t="n">
        <v>67.90000000000001</v>
      </c>
      <c r="H1370" s="90" t="n">
        <v>0</v>
      </c>
      <c r="I1370" s="90" t="n">
        <v>18.5</v>
      </c>
    </row>
    <row r="1371">
      <c r="A1371" s="65" t="inlineStr">
        <is>
          <t>851903</t>
        </is>
      </c>
      <c r="B1371" s="68" t="inlineStr">
        <is>
          <t>보건업 및 사회복지 서비스업</t>
        </is>
      </c>
      <c r="C1371" s="68" t="inlineStr">
        <is>
          <t>보건업</t>
        </is>
      </c>
      <c r="D1371" s="68" t="inlineStr">
        <is>
          <t>기타 보건업</t>
        </is>
      </c>
      <c r="E1371" s="68" t="inlineStr">
        <is>
          <t>유사 의료업</t>
        </is>
      </c>
      <c r="F1371" s="68" t="inlineStr">
        <is>
          <t>◦다음 각 호에 모두 해당하는 안마사
 1. 「의료법」 제82조에 따른 안마사 자격이 있는 자
 2. 「안마사에 관한 규칙」에 따른 안마원 또는 안마시술소를 개설하지 아니하고 안마시술을 하는 자(출장안마포함)</t>
        </is>
      </c>
      <c r="G1371" s="90" t="n">
        <v>79.09999999999999</v>
      </c>
      <c r="H1371" s="90" t="n">
        <v>0</v>
      </c>
      <c r="I1371" s="90" t="n">
        <v>18.9</v>
      </c>
    </row>
    <row r="1372">
      <c r="A1372" s="65" t="inlineStr">
        <is>
          <t>851904</t>
        </is>
      </c>
      <c r="B1372" s="68" t="inlineStr">
        <is>
          <t>보건업 및 사회복지 서비스업</t>
        </is>
      </c>
      <c r="C1372" s="68" t="inlineStr">
        <is>
          <t>보건업</t>
        </is>
      </c>
      <c r="D1372" s="68" t="inlineStr">
        <is>
          <t>기타 보건업</t>
        </is>
      </c>
      <c r="E1372" s="68" t="inlineStr">
        <is>
          <t>유사 의료업</t>
        </is>
      </c>
      <c r="F1372" s="68" t="inlineStr">
        <is>
          <t>◦지압 치료 등의 유사 의료 행위를 수행하는 산업활동을 말한다.
&lt;예 시&gt;
·척추 지압 요법 치료
·접골사
·기타유사의료업
&lt;제 외&gt;
*안마사(안마원 또는 안마시술소 미개설)(→851903)
*안마시술소 운영(→851908)
*안마원 운영(→851912)
*침구 치료 등의 유사 의료 행위(→851902)</t>
        </is>
      </c>
      <c r="G1372" s="90" t="n">
        <v>58.1</v>
      </c>
      <c r="H1372" s="90" t="n">
        <v>0</v>
      </c>
      <c r="I1372" s="90" t="n">
        <v>11.1</v>
      </c>
    </row>
    <row r="1373">
      <c r="A1373" s="65" t="inlineStr">
        <is>
          <t>851905</t>
        </is>
      </c>
      <c r="B1373" s="68" t="inlineStr">
        <is>
          <t>보건업 및 사회복지 서비스업</t>
        </is>
      </c>
      <c r="C1373" s="68" t="inlineStr">
        <is>
          <t>보건업</t>
        </is>
      </c>
      <c r="D1373" s="68" t="inlineStr">
        <is>
          <t>의원</t>
        </is>
      </c>
      <c r="E1373" s="68" t="inlineStr">
        <is>
          <t>방사선 진단 및 병리 검사 의원</t>
        </is>
      </c>
      <c r="F1373" s="68" t="inlineStr">
        <is>
          <t>◦세균검사
&lt;예 시&gt;
·기생충검사서비스</t>
        </is>
      </c>
      <c r="G1373" s="90" t="n">
        <v>70.40000000000001</v>
      </c>
      <c r="H1373" s="90" t="n">
        <v>0</v>
      </c>
      <c r="I1373" s="90" t="n">
        <v>15.8</v>
      </c>
    </row>
    <row r="1374">
      <c r="A1374" s="65" t="inlineStr">
        <is>
          <t>851906</t>
        </is>
      </c>
      <c r="B1374" s="68" t="inlineStr">
        <is>
          <t>보건업 및 사회복지 서비스업</t>
        </is>
      </c>
      <c r="C1374" s="68" t="inlineStr">
        <is>
          <t>보건업</t>
        </is>
      </c>
      <c r="D1374" s="68" t="inlineStr">
        <is>
          <t>기타 보건업</t>
        </is>
      </c>
      <c r="E1374" s="68" t="inlineStr">
        <is>
          <t>그 외 기타 보건업</t>
        </is>
      </c>
      <c r="F1374" s="68" t="inlineStr">
        <is>
          <t>◦혈액원
&lt;예 시&gt;
·제대혈보관, 조혈모세포은행, 혈액은행</t>
        </is>
      </c>
      <c r="G1374" s="90" t="n">
        <v>83.5</v>
      </c>
      <c r="H1374" s="90" t="n">
        <v>0</v>
      </c>
      <c r="I1374" s="90" t="n">
        <v>15.6</v>
      </c>
    </row>
    <row r="1375">
      <c r="A1375" s="65" t="inlineStr">
        <is>
          <t>851907</t>
        </is>
      </c>
      <c r="B1375" s="68" t="inlineStr">
        <is>
          <t>보건업 및 사회복지 서비스업</t>
        </is>
      </c>
      <c r="C1375" s="68" t="inlineStr">
        <is>
          <t>보건업</t>
        </is>
      </c>
      <c r="D1375" s="68" t="inlineStr">
        <is>
          <t>기타 보건업</t>
        </is>
      </c>
      <c r="E1375" s="68" t="inlineStr">
        <is>
          <t>그 외 기타 보건업</t>
        </is>
      </c>
      <c r="F1375" s="68" t="inlineStr">
        <is>
          <t>◦기타 의료 행위를 수행하는 산업활동을 말한다.(조산사와 독립적인 간호사는 제외한다.)
&lt;예 시&gt;
·장기 은행
·정자 은행
·의무 기록 서비스
&lt;제 외&gt;
·산후조리원(930913)
*조산소, 조산원(독립된 간호사 포함)(→851901)
*혈액원(→851906)</t>
        </is>
      </c>
      <c r="G1375" s="90" t="n">
        <v>78</v>
      </c>
      <c r="H1375" s="90" t="n">
        <v>0</v>
      </c>
      <c r="I1375" s="90" t="n">
        <v>16</v>
      </c>
    </row>
    <row r="1376">
      <c r="A1376" s="65" t="inlineStr">
        <is>
          <t>851908</t>
        </is>
      </c>
      <c r="B1376" s="68" t="inlineStr">
        <is>
          <t>보건업 및 사회복지 서비스업</t>
        </is>
      </c>
      <c r="C1376" s="68" t="inlineStr">
        <is>
          <t>보건업</t>
        </is>
      </c>
      <c r="D1376" s="68" t="inlineStr">
        <is>
          <t>기타 보건업</t>
        </is>
      </c>
      <c r="E1376" s="68" t="inlineStr">
        <is>
          <t>유사 의료업</t>
        </is>
      </c>
      <c r="F1376" s="68" t="inlineStr">
        <is>
          <t>◦「의료법」에 따른 안마사 자격이 있고 「안마사에 관한 규칙」에 따른 안마시술소를 운영
&lt;제 외&gt;
·안마원(851912)</t>
        </is>
      </c>
      <c r="G1376" s="90" t="n">
        <v>85.3</v>
      </c>
      <c r="H1376" s="90" t="n">
        <v>0</v>
      </c>
      <c r="I1376" s="90" t="n">
        <v>18.9</v>
      </c>
    </row>
    <row r="1377">
      <c r="A1377" s="65" t="inlineStr">
        <is>
          <t>851909</t>
        </is>
      </c>
      <c r="B1377" s="68" t="inlineStr">
        <is>
          <t>보건업 및 사회복지 서비스업</t>
        </is>
      </c>
      <c r="C1377" s="68" t="inlineStr">
        <is>
          <t>보건업</t>
        </is>
      </c>
      <c r="D1377" s="68" t="inlineStr">
        <is>
          <t>의원</t>
        </is>
      </c>
      <c r="E1377" s="68" t="inlineStr">
        <is>
          <t>방사선 진단 및 병리 검사 의원</t>
        </is>
      </c>
      <c r="F1377" s="68" t="inlineStr">
        <is>
          <t>◦기타 병리실험 서비스
&lt;예 시&gt;
·수수료 또는 계약에 의하여 방사선촬영, 형태학적 병리실험, 화학병리실험, 미생물실험, 혈액검사 등을 수행하는 독립된 의료실험실
·세포검사서비스(병리검사)</t>
        </is>
      </c>
      <c r="G1377" s="90" t="n">
        <v>78</v>
      </c>
      <c r="H1377" s="90" t="n">
        <v>0</v>
      </c>
      <c r="I1377" s="90" t="n">
        <v>17.1</v>
      </c>
    </row>
    <row r="1378">
      <c r="A1378" s="65" t="inlineStr">
        <is>
          <t>851911</t>
        </is>
      </c>
      <c r="B1378" s="68" t="inlineStr">
        <is>
          <t>보건업 및 사회복지 서비스업</t>
        </is>
      </c>
      <c r="C1378" s="68" t="inlineStr">
        <is>
          <t>보건업</t>
        </is>
      </c>
      <c r="D1378" s="68" t="inlineStr">
        <is>
          <t>기타 보건업</t>
        </is>
      </c>
      <c r="E1378" s="68" t="inlineStr">
        <is>
          <t>앰뷸런스 서비스업</t>
        </is>
      </c>
      <c r="F1378" s="68" t="inlineStr">
        <is>
          <t>◦자동차, 선박 및 항공기 등으로 환자 이송과 응급 치료를 하는 산업활동을 말한다. 차량에는 훈련된 직원이 조작하는 응급 구조장비가 장착되어 있다.</t>
        </is>
      </c>
      <c r="G1378" s="90" t="n">
        <v>78</v>
      </c>
      <c r="H1378" s="90" t="n">
        <v>0</v>
      </c>
      <c r="I1378" s="90" t="n">
        <v>17.1</v>
      </c>
    </row>
    <row r="1379">
      <c r="A1379" s="65" t="inlineStr">
        <is>
          <t>851912</t>
        </is>
      </c>
      <c r="B1379" s="68" t="inlineStr">
        <is>
          <t>보건업 및 사회복지 서비스업</t>
        </is>
      </c>
      <c r="C1379" s="68" t="inlineStr">
        <is>
          <t>보건업</t>
        </is>
      </c>
      <c r="D1379" s="68" t="inlineStr">
        <is>
          <t>기타 보건업</t>
        </is>
      </c>
      <c r="E1379" s="68" t="inlineStr">
        <is>
          <t>유사 의료업</t>
        </is>
      </c>
      <c r="F1379" s="68" t="inlineStr">
        <is>
          <t>◦「의료법」에 따른 안마사 자격이 있고 「안마사에 관한 규칙」에 따른 안마원을 운영
&lt;제 외&gt;
·안마시술소(851908)</t>
        </is>
      </c>
      <c r="G1379" s="90" t="n">
        <v>85.3</v>
      </c>
      <c r="H1379" s="90" t="n">
        <v>0</v>
      </c>
      <c r="I1379" s="90" t="n">
        <v>19.6</v>
      </c>
    </row>
    <row r="1380">
      <c r="A1380" s="65" t="inlineStr">
        <is>
          <t>852000</t>
        </is>
      </c>
      <c r="B1380" s="68" t="inlineStr">
        <is>
          <t>전문, 과학 및 기술서비스업</t>
        </is>
      </c>
      <c r="C1380" s="68" t="inlineStr">
        <is>
          <t>기타 전문, 과학 및 기술 서비스업</t>
        </is>
      </c>
      <c r="D1380" s="68" t="inlineStr">
        <is>
          <t>수의업</t>
        </is>
      </c>
      <c r="E1380" s="68" t="inlineStr">
        <is>
          <t>수의업</t>
        </is>
      </c>
      <c r="F1380" s="68" t="inlineStr">
        <is>
          <t>◦축산 동물 및 반려용·애완용 동물에 대한 질병의 예방 및 치료를 수행하는 산업활동을 말한다.
&lt;예 시&gt;
·축산 동물병원
 ·반려·애완 동물병원            
·수의 서비스
·수의관련 실험 서비스
·동물관련 임상병리 서비스
·동물 구급 서비스
&lt;제 외&gt;
·인공 수정 및 거세 서비스(014300)</t>
        </is>
      </c>
      <c r="G1380" s="90" t="n">
        <v>65.09999999999999</v>
      </c>
      <c r="H1380" s="90" t="n">
        <v>0</v>
      </c>
      <c r="I1380" s="90" t="n">
        <v>15.7</v>
      </c>
    </row>
    <row r="1381">
      <c r="A1381" s="65" t="inlineStr">
        <is>
          <t>900100</t>
        </is>
      </c>
      <c r="B1381" s="68" t="inlineStr">
        <is>
          <t>수도, 하수 및 폐기물처리, 원료재생업</t>
        </is>
      </c>
      <c r="C1381" s="68" t="inlineStr">
        <is>
          <t>폐기물 수집, 운반, 처리 및 원료 재생업</t>
        </is>
      </c>
      <c r="D1381" s="68" t="inlineStr">
        <is>
          <t>지정 외 폐기물 수집, 운반업</t>
        </is>
      </c>
      <c r="E1381" s="68" t="inlineStr">
        <is>
          <t>지정 외 폐기물 수집, 운반업</t>
        </is>
      </c>
      <c r="F1381" s="68" t="inlineStr">
        <is>
          <t>◦가정 및 사업장에서 발생하는 무해 폐기물(지정 외 폐기물)을 수집, 운반하는 산업활동을 말한다.
&lt;예 시&gt;
·무해 고체 폐기물 수집, 운반
·무해 산업 폐기물 수집, 운반
·무해 생활 폐기물 수집, 운반
&lt;제 외&gt;
·방사성 폐기물 처리(900102)</t>
        </is>
      </c>
      <c r="G1381" s="90" t="n">
        <v>88</v>
      </c>
      <c r="H1381" s="90" t="n">
        <v>0</v>
      </c>
      <c r="I1381" s="90" t="n">
        <v>20.4</v>
      </c>
    </row>
    <row r="1382">
      <c r="A1382" s="65" t="inlineStr">
        <is>
          <t>900101</t>
        </is>
      </c>
      <c r="B1382" s="68" t="inlineStr">
        <is>
          <t>수도, 하수 및 폐기물처리, 원료재생업</t>
        </is>
      </c>
      <c r="C1382" s="68" t="inlineStr">
        <is>
          <t>폐기물 수집, 운반, 처리 및 원료 재생업</t>
        </is>
      </c>
      <c r="D1382" s="68" t="inlineStr">
        <is>
          <t>지정 외 폐기물 처리업</t>
        </is>
      </c>
      <c r="E1382" s="68" t="inlineStr">
        <is>
          <t>지정 외 폐기물 처리업</t>
        </is>
      </c>
      <c r="F1382" s="68" t="inlineStr">
        <is>
          <t>◦가정 또는 사업장에서 배출되는 생활 폐기물 등의 무해 폐기물(지정 외 폐기물)을 매립, 소각, 중화, 파쇄, 고형화 등의 방법으로 처리하는 시설을 운영하는 산업활동을 말한다. 처리과정에서 부수적으로 전기, 열 및 증기를 생산할 수 있다.
&lt;예 시&gt;
·무해 폐기물 소각로 운영
·무해 폐기물 매립장 운영
·음식 폐기물 처리
&lt;제 외&gt;
·수집 폐기물을 공급받아 전기 생산(401003)</t>
        </is>
      </c>
      <c r="G1382" s="90" t="n">
        <v>88</v>
      </c>
      <c r="H1382" s="90" t="n">
        <v>0</v>
      </c>
      <c r="I1382" s="90" t="n">
        <v>19.9</v>
      </c>
    </row>
    <row r="1383">
      <c r="A1383" s="65" t="inlineStr">
        <is>
          <t>900102</t>
        </is>
      </c>
      <c r="B1383" s="68" t="inlineStr">
        <is>
          <t>수도, 하수 및 폐기물처리, 원료재생업</t>
        </is>
      </c>
      <c r="C1383" s="68" t="inlineStr">
        <is>
          <t>폐기물 수집, 운반, 처리 및 원료 재생업</t>
        </is>
      </c>
      <c r="D1383" s="68" t="inlineStr">
        <is>
          <t>방사성 폐기물 수집, 운반 및 처리업</t>
        </is>
      </c>
      <c r="E1383" s="68" t="inlineStr">
        <is>
          <t>방사성 폐기물 수집, 운반 및 처리업</t>
        </is>
      </c>
      <c r="F1383" s="68" t="inlineStr">
        <is>
          <t>◦폐기 대상인 핵폐기물 등 방사성 폐기물을 수집, 운반, 처리하는 산업활동을 말한다.</t>
        </is>
      </c>
      <c r="G1383" s="90" t="n">
        <v>88</v>
      </c>
      <c r="H1383" s="90" t="n">
        <v>0</v>
      </c>
      <c r="I1383" s="90" t="n">
        <v>20.4</v>
      </c>
    </row>
    <row r="1384">
      <c r="A1384" s="65" t="inlineStr">
        <is>
          <t>900103</t>
        </is>
      </c>
      <c r="B1384" s="68" t="inlineStr">
        <is>
          <t>수도, 하수 및 폐기물처리, 원료재생업</t>
        </is>
      </c>
      <c r="C1384" s="68" t="inlineStr">
        <is>
          <t>폐기물 수집, 운반, 처리 및 원료 재생업</t>
        </is>
      </c>
      <c r="D1384" s="68" t="inlineStr">
        <is>
          <t>지정 폐기물 수집, 운반업</t>
        </is>
      </c>
      <c r="E1384" s="68" t="inlineStr">
        <is>
          <t>지정 폐기물 수집, 운반업</t>
        </is>
      </c>
      <c r="F1384" s="68" t="inlineStr">
        <is>
          <t>◦사업체 및 의료기관 등에서 배출되는 인체 건강과 환경에 유해한 폭발성, 산화성, 인화성, 유독성, 자극성, 발암성, 부식성, 전염성 물질로서 특별 관리되는 폐기물을 수집, 운반하는 산업활동을 말한다.
&lt;예 시&gt;
·부식성 폐기물(폐산, 폐알카리) 수집, 운반
·폐유(폐식용유는 지정 외 폐기물) 수집, 운반
·폐석면, 폐농약 수집, 운반
·액상 폐합성수지, 폐고무 수집, 운반
·폐수 오니, 공정과정 배출 오니 수집, 운반
·보건ㆍ의료기관, 동물병원, 시험ㆍ검사기관 등에서 배출되는 폐기물 중 인체에 위해한 폐기물, 인체 조직 등 적출물, 실험 동물 사체
·유해성 광재(슬래그), 폐주물사, 폐내화물, 폐유기용제, 폐페인트 및 폐래커, 폐유독물질 수집, 운반
&lt;제 외&gt;
·방사성 폐기물 수집, 운반, 처분(900102)</t>
        </is>
      </c>
      <c r="G1384" s="90" t="n">
        <v>88</v>
      </c>
      <c r="H1384" s="90" t="n">
        <v>0</v>
      </c>
      <c r="I1384" s="90" t="n">
        <v>15.6</v>
      </c>
    </row>
    <row r="1385">
      <c r="A1385" s="65" t="inlineStr">
        <is>
          <t>900104</t>
        </is>
      </c>
      <c r="B1385" s="68" t="inlineStr">
        <is>
          <t>수도, 하수 및 폐기물처리, 원료재생업</t>
        </is>
      </c>
      <c r="C1385" s="68" t="inlineStr">
        <is>
          <t>폐기물 수집, 운반, 처리 및 원료 재생업</t>
        </is>
      </c>
      <c r="D1385" s="68" t="inlineStr">
        <is>
          <t>건설 폐기물 수집, 운반업</t>
        </is>
      </c>
      <c r="E1385" s="68" t="inlineStr">
        <is>
          <t>건설 폐기물 수집, 운반업</t>
        </is>
      </c>
      <c r="F1385" s="68" t="inlineStr">
        <is>
          <t>◦건설 관련 폐기물(건물 해체물 등) 및 무해성 광재 등을 수집, 운반하는 산업활동을 말한다.
&lt;예 시&gt;
·건설 폐기물 수집, 운반
·무해성 광재(고로 슬래그 등) 수집, 운반
&lt;제 외&gt;
·공사장에서 배출되는 지정 폐기물 수집, 운반(900103)
·방사성 폐기물 수집, 운반, 처리(900102)</t>
        </is>
      </c>
      <c r="G1385" s="90" t="n">
        <v>88</v>
      </c>
      <c r="H1385" s="90" t="n">
        <v>0</v>
      </c>
      <c r="I1385" s="90" t="n">
        <v>15.6</v>
      </c>
    </row>
    <row r="1386">
      <c r="A1386" s="65" t="inlineStr">
        <is>
          <t>900105</t>
        </is>
      </c>
      <c r="B1386" s="68" t="inlineStr">
        <is>
          <t>수도, 하수 및 폐기물처리, 원료재생업</t>
        </is>
      </c>
      <c r="C1386" s="68" t="inlineStr">
        <is>
          <t>폐기물 수집, 운반, 처리 및 원료 재생업</t>
        </is>
      </c>
      <c r="D1386" s="68" t="inlineStr">
        <is>
          <t>지정 폐기물 처리업</t>
        </is>
      </c>
      <c r="E1386" s="68" t="inlineStr">
        <is>
          <t>지정 폐기물 처리업</t>
        </is>
      </c>
      <c r="F1386" s="68" t="inlineStr">
        <is>
          <t>◦사업장 및 의료기관에서 배출하는 각종 지정 폐기물 처리 시설을 운영하는 산업활동을 말한다.
&lt;예 시&gt;
·폐수 오니 처리
·의료 적출물 처리
·동물 사체 처리</t>
        </is>
      </c>
      <c r="G1386" s="90" t="n">
        <v>88</v>
      </c>
      <c r="H1386" s="90" t="n">
        <v>0</v>
      </c>
      <c r="I1386" s="90" t="n">
        <v>16.6</v>
      </c>
    </row>
    <row r="1387">
      <c r="A1387" s="65" t="inlineStr">
        <is>
          <t>900106</t>
        </is>
      </c>
      <c r="B1387" s="68" t="inlineStr">
        <is>
          <t>수도, 하수 및 폐기물처리, 원료재생업</t>
        </is>
      </c>
      <c r="C1387" s="68" t="inlineStr">
        <is>
          <t>폐기물 수집, 운반, 처리 및 원료 재생업</t>
        </is>
      </c>
      <c r="D1387" s="68" t="inlineStr">
        <is>
          <t>건설 폐기물 처리업</t>
        </is>
      </c>
      <c r="E1387" s="68" t="inlineStr">
        <is>
          <t>건설 폐기물 처리업</t>
        </is>
      </c>
      <c r="F1387" s="68" t="inlineStr">
        <is>
          <t>◦건물 해체물 등 건설관련 폐기물 처리시설을 운영하는 산업활동을 말한다. 처리과정에서 재활용이 가능한 골재를 부수적으로 얻을 수 있다. 무해성 광재를 처리하는 산업활동도 포함한다.
&lt;예 시&gt;
·무해성 광재(고로 슬래그 등) 처리
&lt;제 외&gt;
·재생 골재와 기타 재료를 혼합하여 특정 제품(벽돌 등) 생산(비금속광물제품 제조에 따른 산업활동에 따라 분류)
·공사장에서 배출되는 지정 폐기물 처리(900105)</t>
        </is>
      </c>
      <c r="G1387" s="90" t="n">
        <v>88</v>
      </c>
      <c r="H1387" s="90" t="n">
        <v>0</v>
      </c>
      <c r="I1387" s="90" t="n">
        <v>16.6</v>
      </c>
    </row>
    <row r="1388">
      <c r="A1388" s="65" t="inlineStr">
        <is>
          <t>900200</t>
        </is>
      </c>
      <c r="B1388" s="68" t="inlineStr">
        <is>
          <t>수도, 하수 및 폐기물처리, 원료재생업</t>
        </is>
      </c>
      <c r="C1388" s="68" t="inlineStr">
        <is>
          <t>하수, 폐수 및 분뇨 처리업</t>
        </is>
      </c>
      <c r="D1388" s="68" t="inlineStr">
        <is>
          <t>하수 및 폐수 처리업</t>
        </is>
      </c>
      <c r="E1388" s="68" t="inlineStr">
        <is>
          <t>하수 처리업</t>
        </is>
      </c>
      <c r="F1388" s="68" t="inlineStr">
        <is>
          <t>◦하수를 하수도관에 의해서 수집하고, 수집된 하수를 희석, 선별, 여과, 침전 등 물리◦화학◦생물공정 등으로 처리하는 하수도관시설 및 하수 처리시설을 운영하는 산업활동을 말한다.
&lt;예 시&gt;
·하수 펌프장 운영
·하수도관시설 운영
·하수 종말 처리장 운영
&lt;제 외&gt;
·산업 폐수 처리시설 운영(900202)
*하수도관 청소(→749301)</t>
        </is>
      </c>
      <c r="G1388" s="90" t="n">
        <v>84.59999999999999</v>
      </c>
      <c r="H1388" s="90" t="n">
        <v>0</v>
      </c>
      <c r="I1388" s="90" t="n">
        <v>20.4</v>
      </c>
    </row>
    <row r="1389">
      <c r="A1389" s="65" t="inlineStr">
        <is>
          <t>900201</t>
        </is>
      </c>
      <c r="B1389" s="68" t="inlineStr">
        <is>
          <t>수도, 하수 및 폐기물처리, 원료재생업</t>
        </is>
      </c>
      <c r="C1389" s="68" t="inlineStr">
        <is>
          <t>하수, 폐수 및 분뇨 처리업</t>
        </is>
      </c>
      <c r="D1389" s="68" t="inlineStr">
        <is>
          <t>분뇨 처리업</t>
        </is>
      </c>
      <c r="E1389" s="68" t="inlineStr">
        <is>
          <t>사람 분뇨 처리업</t>
        </is>
      </c>
      <c r="F1389" s="68" t="inlineStr">
        <is>
          <t>◦사람 분뇨의 수집, 운반, 보관 및 처분을 수행하는 산업활동을 말하며 관련 시설을 청소하는 활동을 포함한다.
&lt;예 시&gt;
·정화조 청소업
·분뇨 수집, 운반업
·분뇨 처리업</t>
        </is>
      </c>
      <c r="G1389" s="90" t="n">
        <v>83.8</v>
      </c>
      <c r="H1389" s="90" t="n">
        <v>0</v>
      </c>
      <c r="I1389" s="90" t="n">
        <v>19.9</v>
      </c>
    </row>
    <row r="1390">
      <c r="A1390" s="65" t="inlineStr">
        <is>
          <t>900202</t>
        </is>
      </c>
      <c r="B1390" s="68" t="inlineStr">
        <is>
          <t>수도, 하수 및 폐기물처리, 원료재생업</t>
        </is>
      </c>
      <c r="C1390" s="68" t="inlineStr">
        <is>
          <t>하수, 폐수 및 분뇨 처리업</t>
        </is>
      </c>
      <c r="D1390" s="68" t="inlineStr">
        <is>
          <t>하수 및 폐수 처리업</t>
        </is>
      </c>
      <c r="E1390" s="68" t="inlineStr">
        <is>
          <t>폐수 처리업</t>
        </is>
      </c>
      <c r="F1390" s="68" t="inlineStr">
        <is>
          <t>◦산업 폐수를 폐수 수집관에 의해서 수집하고, 수집된 폐수를 희석, 선별, 여과, 침전 등 물리◦화학◦생물공정 등으로 처리하는 폐수도관시설 및 폐수 처리시설을 운영하는 산업활동을 말하며, 관련 시설을 청소하는 활동을 포함한다.
&lt;예 시&gt;
·산업 폐수 처리시설 운영</t>
        </is>
      </c>
      <c r="G1390" s="90" t="n">
        <v>84.59999999999999</v>
      </c>
      <c r="H1390" s="90" t="n">
        <v>0</v>
      </c>
      <c r="I1390" s="90" t="n">
        <v>19.9</v>
      </c>
    </row>
    <row r="1391">
      <c r="A1391" s="65" t="inlineStr">
        <is>
          <t>900203</t>
        </is>
      </c>
      <c r="B1391" s="68" t="inlineStr">
        <is>
          <t>수도, 하수 및 폐기물처리, 원료재생업</t>
        </is>
      </c>
      <c r="C1391" s="68" t="inlineStr">
        <is>
          <t>하수, 폐수 및 분뇨 처리업</t>
        </is>
      </c>
      <c r="D1391" s="68" t="inlineStr">
        <is>
          <t>분뇨 처리업</t>
        </is>
      </c>
      <c r="E1391" s="68" t="inlineStr">
        <is>
          <t>축산 분뇨 처리업</t>
        </is>
      </c>
      <c r="F1391" s="68" t="inlineStr">
        <is>
          <t>◦가축 사육장에서 배출되는 액체성 또는 고체성 오염 물질의 수집, 운반, 보관 및 처분을 수행하는 산업활동을 말하며 관련 시설을 청소하는 활동을 포함한다.
&lt;예 시&gt;
·가축 분뇨 수집 및 운반업
·축산 폐수 공용 처리시설 운영
&lt;제 외&gt;
·축산 분뇨를 이용한 유기질 비료 제조(241202)</t>
        </is>
      </c>
      <c r="G1391" s="90" t="n">
        <v>83.8</v>
      </c>
      <c r="H1391" s="90" t="n">
        <v>0</v>
      </c>
      <c r="I1391" s="90" t="n">
        <v>19.9</v>
      </c>
    </row>
    <row r="1392">
      <c r="A1392" s="65" t="inlineStr">
        <is>
          <t>900300</t>
        </is>
      </c>
      <c r="B1392" s="68" t="inlineStr">
        <is>
          <t>수도, 하수 및 폐기물처리, 원료재생업</t>
        </is>
      </c>
      <c r="C1392" s="68" t="inlineStr">
        <is>
          <t>폐기물 수집, 운반, 처리 및 원료 재생업</t>
        </is>
      </c>
      <c r="D1392" s="68" t="inlineStr">
        <is>
          <t>금속류 해체, 선별 및 원료 재생업</t>
        </is>
      </c>
      <c r="E1392" s="68" t="inlineStr">
        <is>
          <t>금속류 해체 및 선별업</t>
        </is>
      </c>
      <c r="F1392" s="68" t="inlineStr">
        <is>
          <t>◦폐차처리업
&lt;예 시&gt;
·금속원료재생을 위한 철도차량 해체</t>
        </is>
      </c>
      <c r="G1392" s="90" t="n">
        <v>87.90000000000001</v>
      </c>
      <c r="H1392" s="90" t="n">
        <v>0</v>
      </c>
      <c r="I1392" s="90" t="n">
        <v>15.6</v>
      </c>
    </row>
    <row r="1393">
      <c r="A1393" s="65" t="inlineStr">
        <is>
          <t>900900</t>
        </is>
      </c>
      <c r="B1393" s="68" t="inlineStr">
        <is>
          <t>사업시설 관리, 사업지원 및 임대 서비스업</t>
        </is>
      </c>
      <c r="C1393" s="68" t="inlineStr">
        <is>
          <t>사업시설 관리 및 조경 서비스업</t>
        </is>
      </c>
      <c r="D1393" s="68" t="inlineStr">
        <is>
          <t>건물 및 산업설비 청소업</t>
        </is>
      </c>
      <c r="E1393" s="68" t="inlineStr">
        <is>
          <t>산업설비, 운송장비 및 공공장소 청소업</t>
        </is>
      </c>
      <c r="F1393" s="68" t="inlineStr">
        <is>
          <t>◦산업설비, 운송장비 및 산업용품을 기계적 또는 화학적 방법으로 세척 및 청소하는 산업활동을 말한다. 공공 장소에 대한 거리 청소, 제설 및 기타 유사 서비스를 수행하는 산업활동을 포함한다.
&lt;예 시&gt;
·산업설비 청소 서비스
·탱크 청소 서비스
·로 및 굴뚝 청소 서비스
·컴퓨터실 청소 서비스
·활주로 청소 서비스
·거리 청소 서비스
·선박 청소 서비스
·산업용 장비 세척(직물 및 직물제품 제외)
&lt;제 외&gt;
·분뇨 수거 및 처리(900201, 900203)
·직물 및 직물제품 세탁(930100~930102)</t>
        </is>
      </c>
      <c r="G1393" s="90" t="n">
        <v>86.90000000000001</v>
      </c>
      <c r="H1393" s="90" t="n">
        <v>0</v>
      </c>
      <c r="I1393" s="90" t="n">
        <v>17.4</v>
      </c>
    </row>
    <row r="1394">
      <c r="A1394" s="65" t="inlineStr">
        <is>
          <t>921100</t>
        </is>
      </c>
      <c r="B1394" s="68" t="inlineStr">
        <is>
          <t>정보통신업</t>
        </is>
      </c>
      <c r="C1394" s="68" t="inlineStr">
        <is>
          <t>영상ㆍ오디오 기록물 제작 및 배급업</t>
        </is>
      </c>
      <c r="D1394" s="68" t="inlineStr">
        <is>
          <t>영화, 비디오물 및 방송 프로그램 배급업</t>
        </is>
      </c>
      <c r="E1394" s="68" t="inlineStr">
        <is>
          <t>영화, 비디오물 및 방송 프로그램 배급업</t>
        </is>
      </c>
      <c r="F1394" s="68" t="inlineStr">
        <is>
          <t>◦일반◦애니메이션 영화, 각종 비디오물 및 방송 프로그램의 배급권을 획득하고 영화관, 방송사 및 기타 상영자(일반 소비자 제외)에게 배급하는 산업활동을 말한다.
&lt;예 시&gt;
·영화 배급
·텔레비전 프로그램 배급
·애니메이션 영화 배급
·비디오물 배급
&lt;제 외&gt;
·일반 대중을 상대로 비디오를 임대하는 산업활동(713004)</t>
        </is>
      </c>
      <c r="G1394" s="90" t="n">
        <v>81.8</v>
      </c>
      <c r="H1394" s="90" t="n">
        <v>0</v>
      </c>
      <c r="I1394" s="90" t="n">
        <v>24.8</v>
      </c>
    </row>
    <row r="1395">
      <c r="A1395" s="65" t="inlineStr">
        <is>
          <t>921200</t>
        </is>
      </c>
      <c r="B1395" s="68" t="inlineStr">
        <is>
          <t>정보통신업</t>
        </is>
      </c>
      <c r="C1395" s="68" t="inlineStr">
        <is>
          <t>영상ㆍ오디오 기록물 제작 및 배급업</t>
        </is>
      </c>
      <c r="D1395" s="68" t="inlineStr">
        <is>
          <t>영화 및 비디오물 상영업</t>
        </is>
      </c>
      <c r="E1395" s="68" t="inlineStr">
        <is>
          <t>영화관 운영업</t>
        </is>
      </c>
      <c r="F1395" s="68" t="inlineStr">
        <is>
          <t>◦실내 또는 야외에서 영사시설을 갖추고 영화를 상영하는 산업활동을 말한다.
&lt;예 시&gt;
·실내 영화관
·자동차 영화관</t>
        </is>
      </c>
      <c r="G1395" s="90" t="n">
        <v>82.40000000000001</v>
      </c>
      <c r="H1395" s="90" t="n">
        <v>0</v>
      </c>
      <c r="I1395" s="90" t="n">
        <v>22.7</v>
      </c>
    </row>
    <row r="1396">
      <c r="A1396" s="65" t="inlineStr">
        <is>
          <t>921301</t>
        </is>
      </c>
      <c r="B1396" s="68" t="inlineStr">
        <is>
          <t>정보통신업</t>
        </is>
      </c>
      <c r="C1396" s="68" t="inlineStr">
        <is>
          <t>방송 및 영상·오디오물 제공 서비스업</t>
        </is>
      </c>
      <c r="D1396" s="68" t="inlineStr">
        <is>
          <t>라디오 방송업</t>
        </is>
      </c>
      <c r="E1396" s="68" t="inlineStr">
        <is>
          <t>라디오 방송업</t>
        </is>
      </c>
      <c r="F1396" s="68" t="inlineStr">
        <is>
          <t>◦직접 제작하거나 구입한 라디오 방송 프로그램을 방송시설을 통하여 송출하는 산업활동을 말한다.
&lt;예 시&gt;
·공동체 라디오 방송</t>
        </is>
      </c>
      <c r="G1396" s="90" t="n">
        <v>79.09999999999999</v>
      </c>
      <c r="H1396" s="90" t="n">
        <v>0</v>
      </c>
      <c r="I1396" s="90" t="n">
        <v>32.2</v>
      </c>
    </row>
    <row r="1397">
      <c r="A1397" s="65" t="inlineStr">
        <is>
          <t>921302</t>
        </is>
      </c>
      <c r="B1397" s="68" t="inlineStr">
        <is>
          <t>정보통신업</t>
        </is>
      </c>
      <c r="C1397" s="68" t="inlineStr">
        <is>
          <t>방송 및 영상·오디오물 제공 서비스업</t>
        </is>
      </c>
      <c r="D1397" s="68" t="inlineStr">
        <is>
          <t>지상파 방송업</t>
        </is>
      </c>
      <c r="E1397" s="68" t="inlineStr">
        <is>
          <t>지상파 방송업</t>
        </is>
      </c>
      <c r="F1397" s="68" t="inlineStr">
        <is>
          <t>◦직접 제작하거나 구입한 텔레비전 방송 프로그램을 지상파 방송시설을 통하여 송출하는 산업활동을 말한다.
&lt;예 시&gt;
·지상파 방송(공영, 민영 TV 방송)
·지상파 이동 멀티미디어 방송(DMB)
&lt;제 외&gt;
·중계소 또는 위성에 의한 라디오 및 텔레비전 방송의 전송 서비스활동(642003)</t>
        </is>
      </c>
      <c r="G1397" s="90" t="n">
        <v>78.3</v>
      </c>
      <c r="H1397" s="90" t="n">
        <v>0</v>
      </c>
      <c r="I1397" s="90" t="n">
        <v>23.7</v>
      </c>
    </row>
    <row r="1398">
      <c r="A1398" s="65" t="inlineStr">
        <is>
          <t>921303</t>
        </is>
      </c>
      <c r="B1398" s="68" t="inlineStr">
        <is>
          <t>정보통신업</t>
        </is>
      </c>
      <c r="C1398" s="68" t="inlineStr">
        <is>
          <t>방송 및 영상·오디오물 제공 서비스업</t>
        </is>
      </c>
      <c r="D1398" s="68" t="inlineStr">
        <is>
          <t>유선, 위성 및 기타 방송업</t>
        </is>
      </c>
      <c r="E1398" s="68" t="inlineStr">
        <is>
          <t>유선 방송업</t>
        </is>
      </c>
      <c r="F1398" s="68" t="inlineStr">
        <is>
          <t>◦직접 제작하거나 프로그램 공급업자로부터 공급받은 텔레비전 방송 프로그램을 유선으로 송출하는 산업활동을 말한다.
&lt;예 시&gt;
·종합 유선 방송
·케이블 방송
·중계 유선 방송
·음악 유선 방송
&lt;제 외&gt;
·위성 방송(921305)</t>
        </is>
      </c>
      <c r="G1398" s="90" t="n">
        <v>75.8</v>
      </c>
      <c r="H1398" s="90" t="n">
        <v>0</v>
      </c>
      <c r="I1398" s="90" t="n">
        <v>16.6</v>
      </c>
    </row>
    <row r="1399">
      <c r="A1399" s="65" t="inlineStr">
        <is>
          <t>921304</t>
        </is>
      </c>
      <c r="B1399" s="68" t="inlineStr">
        <is>
          <t>정보통신업</t>
        </is>
      </c>
      <c r="C1399" s="68" t="inlineStr">
        <is>
          <t>영상ㆍ오디오 기록물 제작 및 배급업</t>
        </is>
      </c>
      <c r="D1399" s="68" t="inlineStr">
        <is>
          <t>영화, 비디오물 및 방송 프로그램 제작업</t>
        </is>
      </c>
      <c r="E1399" s="68" t="inlineStr">
        <is>
          <t>방송 프로그램 제작업</t>
        </is>
      </c>
      <c r="F1399" s="68" t="inlineStr">
        <is>
          <t>◦방송 제작시설을 갖추고 텔레비전 방송사로부터 요청받은 방송용 프로그램만을 전문적으로 제작하는 산업활동을 말한다.
&lt;예 시&gt;
·텔레비전 쇼 제작
·텔레비전 제작소(프로덕션) 운영
&lt;제 외&gt;
·방송 채널에 유선 및 위성 프로그램 공급활동(921306)</t>
        </is>
      </c>
      <c r="G1399" s="90" t="n">
        <v>88.59999999999999</v>
      </c>
      <c r="H1399" s="90" t="n">
        <v>0</v>
      </c>
      <c r="I1399" s="90" t="n">
        <v>27.6</v>
      </c>
    </row>
    <row r="1400">
      <c r="A1400" s="65" t="inlineStr">
        <is>
          <t>921305</t>
        </is>
      </c>
      <c r="B1400" s="68" t="inlineStr">
        <is>
          <t>정보통신업</t>
        </is>
      </c>
      <c r="C1400" s="68" t="inlineStr">
        <is>
          <t>방송 및 영상·오디오물 제공 서비스업</t>
        </is>
      </c>
      <c r="D1400" s="68" t="inlineStr">
        <is>
          <t>유선, 위성 및 기타 방송업</t>
        </is>
      </c>
      <c r="E1400" s="68" t="inlineStr">
        <is>
          <t>위성 및 기타 방송업</t>
        </is>
      </c>
      <c r="F1400" s="68" t="inlineStr">
        <is>
          <t>◦직접 제작하거나 프로그램 공급업자로부터 공급받은 텔레비전 방송 프로그램을 위성 및 기타의 방법으로 송출하는 산업활동을 말한다.
&lt;예 시&gt;
·위성 방송
·인터넷 방송
·IPTV 방송
·보도 중심 전광판 방송
&lt;제 외&gt;
·유선 방송(921303)
·위성 방송 프로그램 공급(921306)
·통신위성 운영(642003)</t>
        </is>
      </c>
      <c r="G1400" s="90" t="n">
        <v>75.8</v>
      </c>
      <c r="H1400" s="90" t="n">
        <v>0</v>
      </c>
      <c r="I1400" s="90" t="n">
        <v>23.7</v>
      </c>
    </row>
    <row r="1401">
      <c r="A1401" s="65" t="inlineStr">
        <is>
          <t>921306</t>
        </is>
      </c>
      <c r="B1401" s="68" t="inlineStr">
        <is>
          <t>정보통신업</t>
        </is>
      </c>
      <c r="C1401" s="68" t="inlineStr">
        <is>
          <t>방송 및 영상·오디오물 제공 서비스업</t>
        </is>
      </c>
      <c r="D1401" s="68" t="inlineStr">
        <is>
          <t>유선, 위성 및 기타 방송업</t>
        </is>
      </c>
      <c r="E1401" s="68" t="inlineStr">
        <is>
          <t>프로그램 공급업</t>
        </is>
      </c>
      <c r="F1401" s="68" t="inlineStr">
        <is>
          <t>◦직접 제작하거나 구입한 텔레비전 방송프로그램을 유선, 위성 및 기타 방송사업체에 공급하는 산업활동을 말한다.
&lt;예 시&gt;
·유선 방송 프로그램 공급업
·위성 방송 프로그램 공급업
&lt;제 외&gt;
·텔레비전에 의한 상품 소매(홈쇼핑)(525102)
·독립적인 텔레비전 프로그램 제작(921304)</t>
        </is>
      </c>
      <c r="G1401" s="90" t="n">
        <v>88.59999999999999</v>
      </c>
      <c r="H1401" s="90" t="n">
        <v>0</v>
      </c>
      <c r="I1401" s="90" t="n">
        <v>34.9</v>
      </c>
    </row>
    <row r="1402">
      <c r="A1402" s="65" t="inlineStr">
        <is>
          <t>921401</t>
        </is>
      </c>
      <c r="B1402" s="68" t="inlineStr">
        <is>
          <t>예술, 스포츠 및 여가관련 서비스업</t>
        </is>
      </c>
      <c r="C1402" s="68" t="inlineStr">
        <is>
          <t>창작, 예술 및 여가관련 서비스업</t>
        </is>
      </c>
      <c r="D1402" s="68" t="inlineStr">
        <is>
          <t>기타 창작 및 예술관련 서비스업</t>
        </is>
      </c>
      <c r="E1402" s="68" t="inlineStr">
        <is>
          <t>공연 기획업</t>
        </is>
      </c>
      <c r="F1402" s="68" t="inlineStr">
        <is>
          <t>◦공연 예술 행사를 기획, 조직 및 관리하는 산업활동을 말한다. 이 사업체는 공연시설을 소유할 수 있다.</t>
        </is>
      </c>
      <c r="G1402" s="90" t="n">
        <v>85</v>
      </c>
      <c r="H1402" s="90" t="n">
        <v>0</v>
      </c>
      <c r="I1402" s="90" t="n">
        <v>26.1</v>
      </c>
    </row>
    <row r="1403">
      <c r="A1403" s="65" t="inlineStr">
        <is>
          <t>921402</t>
        </is>
      </c>
      <c r="B1403" s="68" t="inlineStr">
        <is>
          <t>예술, 스포츠 및 여가관련 서비스업</t>
        </is>
      </c>
      <c r="C1403" s="68" t="inlineStr">
        <is>
          <t>창작, 예술 및 여가관련 서비스업</t>
        </is>
      </c>
      <c r="D1403" s="68" t="inlineStr">
        <is>
          <t>공연단체</t>
        </is>
      </c>
      <c r="E1403" s="68" t="inlineStr">
        <is>
          <t>무용 및 음악단체</t>
        </is>
      </c>
      <c r="F1403" s="68" t="inlineStr">
        <is>
          <t>◦무용 및 음악단체를 운영하는 산업활동을 말한다.
&lt;예 시&gt;
·현대 무용단
·국악단체
·고전 무용단
·발레단
·포크댄스단
·밴드단
·오케스트라
·탭댄스단
·재즈단</t>
        </is>
      </c>
      <c r="G1403" s="90" t="n">
        <v>94.3</v>
      </c>
      <c r="H1403" s="90" t="n">
        <v>0</v>
      </c>
      <c r="I1403" s="90" t="n">
        <v>27.9</v>
      </c>
    </row>
    <row r="1404">
      <c r="A1404" s="65" t="inlineStr">
        <is>
          <t>921403</t>
        </is>
      </c>
      <c r="B1404" s="68" t="inlineStr">
        <is>
          <t>예술, 스포츠 및 여가관련 서비스업</t>
        </is>
      </c>
      <c r="C1404" s="68" t="inlineStr">
        <is>
          <t>창작, 예술 및 여가관련 서비스업</t>
        </is>
      </c>
      <c r="D1404" s="68" t="inlineStr">
        <is>
          <t>공연단체</t>
        </is>
      </c>
      <c r="E1404" s="68" t="inlineStr">
        <is>
          <t>연극단체</t>
        </is>
      </c>
      <c r="F1404" s="68" t="inlineStr">
        <is>
          <t>◦실황극을 공연하는 공연단체를 운영하는 산업활동을 말한다. 이 사업체는 극장시설을 소유할 수 있다.
&lt;예 시&gt;
·음악연극 단체
·오페라 극단
·뮤지컬 극단
·코미디 극단
·인형 극단
&lt;제 외&gt;
·독립적인 자영 연예인 활동(해당되는 산업활동으로 분류)</t>
        </is>
      </c>
      <c r="G1404" s="90" t="n">
        <v>96.7</v>
      </c>
      <c r="H1404" s="90" t="n">
        <v>0</v>
      </c>
      <c r="I1404" s="90" t="n">
        <v>28.4</v>
      </c>
    </row>
    <row r="1405">
      <c r="A1405" s="65" t="inlineStr">
        <is>
          <t>921404</t>
        </is>
      </c>
      <c r="B1405" s="68" t="inlineStr">
        <is>
          <t>부동산업</t>
        </is>
      </c>
      <c r="C1405" s="68" t="inlineStr">
        <is>
          <t>부동산업</t>
        </is>
      </c>
      <c r="D1405" s="68" t="inlineStr">
        <is>
          <t>부동산 임대업</t>
        </is>
      </c>
      <c r="E1405" s="68" t="inlineStr">
        <is>
          <t>비주거용 건물 임대업</t>
        </is>
      </c>
      <c r="F1405" s="68" t="inlineStr">
        <is>
          <t>◦극장대관(연극, 쇼공연, 행사 등을 위하여 극장을 대관하는 업)</t>
        </is>
      </c>
      <c r="G1405" s="90" t="n">
        <v>85.5</v>
      </c>
      <c r="H1405" s="90" t="n">
        <v>0</v>
      </c>
      <c r="I1405" s="90" t="n">
        <v>16.8</v>
      </c>
    </row>
    <row r="1406">
      <c r="A1406" s="65" t="inlineStr">
        <is>
          <t>921405</t>
        </is>
      </c>
      <c r="B1406" s="68" t="inlineStr">
        <is>
          <t>예술, 스포츠 및 여가관련 서비스업</t>
        </is>
      </c>
      <c r="C1406" s="68" t="inlineStr">
        <is>
          <t>창작, 예술 및 여가관련 서비스업</t>
        </is>
      </c>
      <c r="D1406" s="68" t="inlineStr">
        <is>
          <t>기타 창작 및 예술관련 서비스업</t>
        </is>
      </c>
      <c r="E1406" s="68" t="inlineStr">
        <is>
          <t>그 외 기타 창작 및 예술관련 서비스업</t>
        </is>
      </c>
      <c r="F1406" s="68" t="inlineStr">
        <is>
          <t>◦영화, 텔레비전, 연극 제작을 위하여 제작자의 주문에 따라 연기자를 공급하는 배역 서비스와 영화 제작, 연극 제작, 스포츠 또는 기타 공연물 제작에 관련하여 제작자를 대리하여 장소 및 예약 등을 대리하는 산업활동을 말한다.
&lt;제 외&gt;
·독립적인 연예인 또는 예술가의 대리활동(749911)
·연극, 영화 등 단역배우 공급(749101)</t>
        </is>
      </c>
      <c r="G1406" s="90" t="n">
        <v>83.5</v>
      </c>
      <c r="H1406" s="90" t="n">
        <v>0</v>
      </c>
      <c r="I1406" s="90" t="n">
        <v>29.4</v>
      </c>
    </row>
    <row r="1407">
      <c r="A1407" s="65" t="inlineStr">
        <is>
          <t>921406</t>
        </is>
      </c>
      <c r="B1407" s="68" t="inlineStr">
        <is>
          <t>예술, 스포츠 및 여가관련 서비스업</t>
        </is>
      </c>
      <c r="C1407" s="68" t="inlineStr">
        <is>
          <t>창작, 예술 및 여가관련 서비스업</t>
        </is>
      </c>
      <c r="D1407" s="68" t="inlineStr">
        <is>
          <t>기타 창작 및 예술관련 서비스업</t>
        </is>
      </c>
      <c r="E1407" s="68" t="inlineStr">
        <is>
          <t>그 외 기타 창작 및 예술관련 서비스업</t>
        </is>
      </c>
      <c r="F1407" s="68" t="inlineStr">
        <is>
          <t>◦공연 기획, 공연 및 제작관련 대리를 제외한 기타 창작 및 예술관련 서비스를 제공하는 산업활동을 말한다.
&lt;예 시&gt;
·조명장치 설치 및 운영
·연극 배경장치 운영
·음향장치 설치 및 운영
·무대 설비설치 운영
·무대 예술 운영업
·입장권 판매시설 운영</t>
        </is>
      </c>
      <c r="G1407" s="90" t="n">
        <v>83.5</v>
      </c>
      <c r="H1407" s="90" t="n">
        <v>0</v>
      </c>
      <c r="I1407" s="90" t="n">
        <v>26.7</v>
      </c>
    </row>
    <row r="1408">
      <c r="A1408" s="65" t="inlineStr">
        <is>
          <t>921407</t>
        </is>
      </c>
      <c r="B1408" s="68" t="inlineStr">
        <is>
          <t>예술, 스포츠 및 여가관련 서비스업</t>
        </is>
      </c>
      <c r="C1408" s="68" t="inlineStr">
        <is>
          <t>창작, 예술 및 여가관련 서비스업</t>
        </is>
      </c>
      <c r="D1408" s="68" t="inlineStr">
        <is>
          <t>공연단체</t>
        </is>
      </c>
      <c r="E1408" s="68" t="inlineStr">
        <is>
          <t>기타 공연단체</t>
        </is>
      </c>
      <c r="F1408" s="68" t="inlineStr">
        <is>
          <t>◦기타 공연 예술단체를 운영하는 산업활동을 말한다.
&lt;예 시&gt;
·서커스단
·마술쇼단
·아이스스케이팅단</t>
        </is>
      </c>
      <c r="G1408" s="90" t="n">
        <v>94.3</v>
      </c>
      <c r="H1408" s="90" t="n">
        <v>0</v>
      </c>
      <c r="I1408" s="90" t="n">
        <v>36.6</v>
      </c>
    </row>
    <row r="1409">
      <c r="A1409" s="65" t="inlineStr">
        <is>
          <t>921501</t>
        </is>
      </c>
      <c r="B1409" s="68" t="inlineStr">
        <is>
          <t>정보통신업</t>
        </is>
      </c>
      <c r="C1409" s="68" t="inlineStr">
        <is>
          <t>영상ㆍ오디오 기록물 제작 및 배급업</t>
        </is>
      </c>
      <c r="D1409" s="68" t="inlineStr">
        <is>
          <t>영화, 비디오물 및 방송 프로그램 제작업</t>
        </is>
      </c>
      <c r="E1409" s="68" t="inlineStr">
        <is>
          <t>광고 영화 및 비디오물 제작업</t>
        </is>
      </c>
      <c r="F1409" s="68" t="inlineStr">
        <is>
          <t>◦특정 사업체 및 제품 등을 광고하는 광고 영화 및 비디오물을 제작하는 산업활동을 말한다.
&lt;예 시&gt;
·텔레비전용 광고물 제작
·홍보 영화 제작
·공익 광고 영화 제작
&lt;제 외&gt;
·일반 영화 제작(921502)</t>
        </is>
      </c>
      <c r="G1409" s="90" t="n">
        <v>82</v>
      </c>
      <c r="H1409" s="90" t="n">
        <v>0</v>
      </c>
      <c r="I1409" s="90" t="n">
        <v>24.5</v>
      </c>
    </row>
    <row r="1410">
      <c r="A1410" s="65" t="inlineStr">
        <is>
          <t>921502</t>
        </is>
      </c>
      <c r="B1410" s="68" t="inlineStr">
        <is>
          <t>정보통신업</t>
        </is>
      </c>
      <c r="C1410" s="68" t="inlineStr">
        <is>
          <t>영상ㆍ오디오 기록물 제작 및 배급업</t>
        </is>
      </c>
      <c r="D1410" s="68" t="inlineStr">
        <is>
          <t>영화, 비디오물 및 방송 프로그램 제작업</t>
        </is>
      </c>
      <c r="E1410" s="68" t="inlineStr">
        <is>
          <t>일반 영화 및 비디오물 제작업</t>
        </is>
      </c>
      <c r="F1410" s="68" t="inlineStr">
        <is>
          <t>◦일반 영화 및 비디오 영화를 제작하는 산업활동을 말한다. 제작과 결합된 배급활동도 포함한다.
&lt;예 시&gt;
·일반 비디오물 제작
·일반 영화 제작
·교육용 비디오물 제작
·뮤직 비디오물 제작
&lt;제 외&gt;
·광고용 영화제작(921501)</t>
        </is>
      </c>
      <c r="G1410" s="90" t="n">
        <v>87.3</v>
      </c>
      <c r="H1410" s="90" t="n">
        <v>0</v>
      </c>
      <c r="I1410" s="90" t="n">
        <v>21.6</v>
      </c>
    </row>
    <row r="1411">
      <c r="A1411" s="65" t="inlineStr">
        <is>
          <t>921503</t>
        </is>
      </c>
      <c r="B1411" s="68" t="inlineStr">
        <is>
          <t>정보통신업</t>
        </is>
      </c>
      <c r="C1411" s="68" t="inlineStr">
        <is>
          <t>영상ㆍ오디오 기록물 제작 및 배급업</t>
        </is>
      </c>
      <c r="D1411" s="68" t="inlineStr">
        <is>
          <t>영화, 비디오물 및 방송 프로그램 제작 관련 서비스업</t>
        </is>
      </c>
      <c r="E1411" s="68" t="inlineStr">
        <is>
          <t>영화, 비디오물 및 방송 프로그램 제작 관련 서비스업</t>
        </is>
      </c>
      <c r="F1411" s="68" t="inlineStr">
        <is>
          <t>◦영화, 비디오물 및 방송 프로그램 제작에 관련된 필름 가공, 편집, 재녹음(더빙), 검사 등의 제작 후 서비스를 독립적으로 수행하는 산업활동을 말한다. 영화 상영용 필름 복제활동도 포함한다.
&lt;예 시&gt;
·필름 검사 서비스
·재녹음(더빙) 서비스
·필름 편집 서비스
·자막 서비스
·영화 상영용 필름 복제
&lt;제 외&gt;
·영화용 필름을 비디오 테이프로 복제하는 산업(223001)</t>
        </is>
      </c>
      <c r="G1411" s="90" t="n">
        <v>87.3</v>
      </c>
      <c r="H1411" s="90" t="n">
        <v>0</v>
      </c>
      <c r="I1411" s="90" t="n">
        <v>24.2</v>
      </c>
    </row>
    <row r="1412">
      <c r="A1412" s="65" t="inlineStr">
        <is>
          <t>921504</t>
        </is>
      </c>
      <c r="B1412" s="68" t="inlineStr">
        <is>
          <t>정보통신업</t>
        </is>
      </c>
      <c r="C1412" s="68" t="inlineStr">
        <is>
          <t>영상ㆍ오디오 기록물 제작 및 배급업</t>
        </is>
      </c>
      <c r="D1412" s="68" t="inlineStr">
        <is>
          <t>영화, 비디오물 및 방송 프로그램 제작업</t>
        </is>
      </c>
      <c r="E1412" s="68" t="inlineStr">
        <is>
          <t>애니메이션 영화 및 비디오물 제작업</t>
        </is>
      </c>
      <c r="F1412" s="68" t="inlineStr">
        <is>
          <t>◦실사 또는 컴퓨터 그래픽 등을 이용하여 애니메이션 영화 및 비디오물을 제작하는 산업활동을 말한다.
&lt;예 시&gt;
·애니메이션 영화 제작
·만화 영화 제작</t>
        </is>
      </c>
      <c r="G1412" s="90" t="n">
        <v>87.3</v>
      </c>
      <c r="H1412" s="90" t="n">
        <v>0</v>
      </c>
      <c r="I1412" s="90" t="n">
        <v>11.8</v>
      </c>
    </row>
    <row r="1413">
      <c r="A1413" s="65" t="inlineStr">
        <is>
          <t>921505</t>
        </is>
      </c>
      <c r="B1413" s="68" t="inlineStr">
        <is>
          <t>정보통신업</t>
        </is>
      </c>
      <c r="C1413" s="68" t="inlineStr">
        <is>
          <t>영상ㆍ오디오 기록물 제작 및 배급업</t>
        </is>
      </c>
      <c r="D1413" s="68" t="inlineStr">
        <is>
          <t>영화, 비디오물 및 방송 프로그램 제작업</t>
        </is>
      </c>
      <c r="E1413" s="68" t="inlineStr">
        <is>
          <t>미디어콘텐츠창작업</t>
        </is>
      </c>
      <c r="F1413" s="68" t="inlineStr">
        <is>
          <t>◦인적 또는 물적시설을 갖추고 인터넷기반으로 다양한 주제의 영상 콘텐츠 등을 창작하고 이를 영상 플랫폼에 업로드하여 시청자에게 유통함으로써 수익이 발생하는 산업활동을 말한다.
* 인적 또는 물적시설없는 1인 미디어콘텐츠창작자는 940306 적용</t>
        </is>
      </c>
      <c r="G1413" s="90" t="n">
        <v>73.8</v>
      </c>
      <c r="H1413" s="90" t="n">
        <v>0</v>
      </c>
      <c r="I1413" s="90" t="n">
        <v>14.2</v>
      </c>
    </row>
    <row r="1414">
      <c r="A1414" s="65" t="inlineStr">
        <is>
          <t>921901</t>
        </is>
      </c>
      <c r="B1414" s="68" t="inlineStr">
        <is>
          <t>예술, 스포츠 및 여가관련 서비스업</t>
        </is>
      </c>
      <c r="C1414" s="68" t="inlineStr">
        <is>
          <t>창작, 예술 및 여가관련 서비스업</t>
        </is>
      </c>
      <c r="D1414" s="68" t="inlineStr">
        <is>
          <t>공연시설 운영업</t>
        </is>
      </c>
      <c r="E1414" s="68" t="inlineStr">
        <is>
          <t>공연시설 운영업</t>
        </is>
      </c>
      <c r="F1414" s="68" t="inlineStr">
        <is>
          <t>◦극장, 음악당 및 기타 실연극을 공연하는 시설을 운영하면서 자체 제작한 오페라, 연극, 음악회 등을 공연하는 산업활동을 말한다. 공연시설을 운영하면서 부수적으로 단기간 공연시설을 대관하고 수수료를 받는 경우도 포함한다.
&lt;예 시&gt;
·극장 운영
·음악당 운영
·연극장 운영
&lt;제 외&gt;
·연예활동이 보조적으로 결합 수행되는 나이트클럽 및 카바레(552203)
·영화상영관(921200)
·공연시설 임대(921404)</t>
        </is>
      </c>
      <c r="G1414" s="90" t="n">
        <v>87.3</v>
      </c>
      <c r="H1414" s="90" t="n">
        <v>0</v>
      </c>
      <c r="I1414" s="90" t="n">
        <v>19.2</v>
      </c>
    </row>
    <row r="1415">
      <c r="A1415" s="65" t="inlineStr">
        <is>
          <t>921902</t>
        </is>
      </c>
      <c r="B1415" s="68" t="inlineStr">
        <is>
          <t>교육서비스업</t>
        </is>
      </c>
      <c r="C1415" s="68" t="inlineStr">
        <is>
          <t>교육 서비스업</t>
        </is>
      </c>
      <c r="D1415" s="68" t="inlineStr">
        <is>
          <t>스포츠 및 레크리에이션 교육기관</t>
        </is>
      </c>
      <c r="E1415" s="68" t="inlineStr">
        <is>
          <t>레크리에이션 교육기관</t>
        </is>
      </c>
      <c r="F1415" s="68" t="inlineStr">
        <is>
          <t>◦댄스교습소
&lt;예 시&gt;
·교육목적의 댄스교습소 운영
·무도, 사교댄스, 스포츠댄스</t>
        </is>
      </c>
      <c r="G1415" s="90" t="n">
        <v>86.7</v>
      </c>
      <c r="H1415" s="90" t="n">
        <v>0</v>
      </c>
      <c r="I1415" s="90" t="n">
        <v>24.1</v>
      </c>
    </row>
    <row r="1416">
      <c r="A1416" s="65" t="inlineStr">
        <is>
          <t>921903</t>
        </is>
      </c>
      <c r="B1416" s="68" t="inlineStr">
        <is>
          <t>예술, 스포츠 및 여가관련 서비스업</t>
        </is>
      </c>
      <c r="C1416" s="68" t="inlineStr">
        <is>
          <t>스포츠 및 오락관련 서비스업</t>
        </is>
      </c>
      <c r="D1416" s="68" t="inlineStr">
        <is>
          <t>유원지 및 테마파크 운영업</t>
        </is>
      </c>
      <c r="E1416" s="68" t="inlineStr">
        <is>
          <t>유원지 및 테마파크 운영업</t>
        </is>
      </c>
      <c r="F1416" s="68" t="inlineStr">
        <is>
          <t>◦기계적인 탑승 놀이기구, 수상 탑승기구, 전시장, 쇼 및 게임장, 휴식시설 등의 종합적인 놀이시설을 갖춘 유흥장을 운영하는 산업활동을 말한다.
&lt;예 시&gt;
·유원지 운영
·테마파크 운영
·각종 놀이기구 운영
&lt;제 외&gt;
·유원지 이외의 공원 운영(924916)</t>
        </is>
      </c>
      <c r="G1416" s="90" t="n">
        <v>84</v>
      </c>
      <c r="H1416" s="90" t="n">
        <v>0</v>
      </c>
      <c r="I1416" s="90" t="n">
        <v>18.2</v>
      </c>
    </row>
    <row r="1417">
      <c r="A1417" s="65" t="inlineStr">
        <is>
          <t>921904</t>
        </is>
      </c>
      <c r="B1417" s="68" t="inlineStr">
        <is>
          <t>예술, 스포츠 및 여가관련 서비스업</t>
        </is>
      </c>
      <c r="C1417" s="68" t="inlineStr">
        <is>
          <t>스포츠 및 오락관련 서비스업</t>
        </is>
      </c>
      <c r="D1417" s="68" t="inlineStr">
        <is>
          <t>그 외 기타 오락관련 서비스업</t>
        </is>
      </c>
      <c r="E1417" s="68" t="inlineStr">
        <is>
          <t>무도장 운영업</t>
        </is>
      </c>
      <c r="F1417" s="68" t="inlineStr">
        <is>
          <t>◦주류 및 식사가 제공되지 않는 무도장, 댄스홀 등을 운영하는 산업활동을 말한다.
&lt;예 시&gt;
·무도장
·콜라텍
·댄스홀
&lt;제 외&gt;
·무도 유흥주점 및 디스코 클럽 운영(552203)
·교육 목적의 댄스 교습소 운영(809021)</t>
        </is>
      </c>
      <c r="G1417" s="90" t="n">
        <v>87.40000000000001</v>
      </c>
      <c r="H1417" s="90" t="n">
        <v>0</v>
      </c>
      <c r="I1417" s="90" t="n">
        <v>13.7</v>
      </c>
    </row>
    <row r="1418">
      <c r="A1418" s="65" t="inlineStr">
        <is>
          <t>922101</t>
        </is>
      </c>
      <c r="B1418" s="68" t="inlineStr">
        <is>
          <t>협회 및 단체, 수리 및 기타 개인서비스업</t>
        </is>
      </c>
      <c r="C1418" s="68" t="inlineStr">
        <is>
          <t>개인 및 소비용품 수리업</t>
        </is>
      </c>
      <c r="D1418" s="68" t="inlineStr">
        <is>
          <t>기타 개인 및 가정용품 수리업</t>
        </is>
      </c>
      <c r="E1418" s="68" t="inlineStr">
        <is>
          <t>그 외 기타 개인 및 가정용품 수리업</t>
        </is>
      </c>
      <c r="F1418" s="68" t="inlineStr">
        <is>
          <t>◦가정용 철물, 수공구 및 정원용 장비, 가구, 운동기구 등의 가정용품을 전문적으로 수리하는 산업활동을 포함한다.
&lt;예 시&gt;
·가정용 철물 수리
·가정용 기기 수리(비전기식)
·보일러 수리(가정용)
·가정용 가스 기기 수리
·운반식 석유히터 수리
·가정용 재봉틀 수리(비전기식)
·가구 수리
·운동기구 수리
·자전거 수리
·가정용품 종합 수리
·농기구수선
&lt;제 외&gt;
·컴퓨터 및 기타 주변 기기 수리활동(725000)</t>
        </is>
      </c>
      <c r="G1418" s="90" t="n">
        <v>90.90000000000001</v>
      </c>
      <c r="H1418" s="90" t="n">
        <v>0</v>
      </c>
      <c r="I1418" s="90" t="n">
        <v>19.3</v>
      </c>
    </row>
    <row r="1419">
      <c r="A1419" s="65" t="inlineStr">
        <is>
          <t>922102</t>
        </is>
      </c>
      <c r="B1419" s="68" t="inlineStr">
        <is>
          <t>제조업</t>
        </is>
      </c>
      <c r="C1419" s="68" t="inlineStr">
        <is>
          <t>산업용 기계 및 장비 수리업</t>
        </is>
      </c>
      <c r="D1419" s="68" t="inlineStr">
        <is>
          <t>일반 기계류 수리업</t>
        </is>
      </c>
      <c r="E1419" s="68" t="inlineStr">
        <is>
          <t>기타 일반 기계 및 장비 수리업</t>
        </is>
      </c>
      <c r="F1419" s="68" t="inlineStr">
        <is>
          <t>◦기타 일반 기계 및 장비를 전문적으로 수리◦유지하는 산업활동을 말한다.
&lt;예 시&gt;
·조립 금속제품 수리              
·산업용 보일러 수리         
·농업용 기계 수리                
·축산용 기계 수리
·선박 부품 수리                  
·항공기 부품 수리     
·사무용 기계 수리</t>
        </is>
      </c>
      <c r="G1419" s="90" t="n">
        <v>88.90000000000001</v>
      </c>
      <c r="H1419" s="90" t="n">
        <v>0</v>
      </c>
      <c r="I1419" s="90" t="n">
        <v>12.5</v>
      </c>
    </row>
    <row r="1420">
      <c r="A1420" s="65" t="inlineStr">
        <is>
          <t>922103</t>
        </is>
      </c>
      <c r="B1420" s="68" t="inlineStr">
        <is>
          <t>제조업</t>
        </is>
      </c>
      <c r="C1420" s="68" t="inlineStr">
        <is>
          <t>산업용 기계 및 장비 수리업</t>
        </is>
      </c>
      <c r="D1420" s="68" t="inlineStr">
        <is>
          <t>전기ㆍ전자 및 정밀 기기 수리업</t>
        </is>
      </c>
      <c r="E1420" s="68" t="inlineStr">
        <is>
          <t>전기ㆍ전자 및 정밀 기기 수리업</t>
        </is>
      </c>
      <c r="F1420" s="68" t="inlineStr">
        <is>
          <t>◦전기◦전자 및 정밀 기기를 전문적으로 수리◦유지하는 산업활동을 말한다.
&lt;제 외&gt;
·냉장고, 세탁기 등 가전제품 수리(922104)</t>
        </is>
      </c>
      <c r="G1420" s="90" t="n">
        <v>88.90000000000001</v>
      </c>
      <c r="H1420" s="90" t="n">
        <v>0</v>
      </c>
      <c r="I1420" s="90" t="n">
        <v>16.7</v>
      </c>
    </row>
    <row r="1421">
      <c r="A1421" s="65" t="inlineStr">
        <is>
          <t>922104</t>
        </is>
      </c>
      <c r="B1421" s="68" t="inlineStr">
        <is>
          <t>협회 및 단체, 수리 및 기타 개인서비스업</t>
        </is>
      </c>
      <c r="C1421" s="68" t="inlineStr">
        <is>
          <t>개인 및 소비용품 수리업</t>
        </is>
      </c>
      <c r="D1421" s="68" t="inlineStr">
        <is>
          <t>가전제품 수리업</t>
        </is>
      </c>
      <c r="E1421" s="68" t="inlineStr">
        <is>
          <t>가전제품 수리업</t>
        </is>
      </c>
      <c r="F1421" s="68" t="inlineStr">
        <is>
          <t>◦각종 가정용 전기제품 및 용품을 전문적으로 수리하는 산업활동을 말한다.
&lt;예 시&gt;
·가정용 전자제품 수리
·가정용 전기제품 수리
·가정용 전열기 수리</t>
        </is>
      </c>
      <c r="G1421" s="90" t="n">
        <v>89.40000000000001</v>
      </c>
      <c r="H1421" s="90" t="n">
        <v>0</v>
      </c>
      <c r="I1421" s="90" t="n">
        <v>18</v>
      </c>
    </row>
    <row r="1422">
      <c r="A1422" s="65" t="inlineStr">
        <is>
          <t>922105</t>
        </is>
      </c>
      <c r="B1422" s="68" t="inlineStr">
        <is>
          <t>협회 및 단체, 수리 및 기타 개인서비스업</t>
        </is>
      </c>
      <c r="C1422" s="68" t="inlineStr">
        <is>
          <t>개인 및 소비용품 수리업</t>
        </is>
      </c>
      <c r="D1422" s="68" t="inlineStr">
        <is>
          <t>기타 개인 및 가정용품 수리업</t>
        </is>
      </c>
      <c r="E1422" s="68" t="inlineStr">
        <is>
          <t>의복 및 기타 가정용 직물제품 수리업</t>
        </is>
      </c>
      <c r="F1422" s="68" t="inlineStr">
        <is>
          <t>◦각종 의복 및 기타 가정용 직물제품을 전문으로 수리하는 산업활동을 말한다.
&lt;예 시&gt;
·직물제품 수리
·의복 수리
&lt;제 외&gt;
·가방, 지갑, 핸드백 수리(922108)</t>
        </is>
      </c>
      <c r="G1422" s="90" t="n">
        <v>89.40000000000001</v>
      </c>
      <c r="H1422" s="90" t="n">
        <v>0</v>
      </c>
      <c r="I1422" s="90" t="n">
        <v>18.3</v>
      </c>
    </row>
    <row r="1423">
      <c r="A1423" s="65" t="inlineStr">
        <is>
          <t>922106</t>
        </is>
      </c>
      <c r="B1423" s="68" t="inlineStr">
        <is>
          <t>제조업</t>
        </is>
      </c>
      <c r="C1423" s="68" t="inlineStr">
        <is>
          <t>산업용 기계 및 장비 수리업</t>
        </is>
      </c>
      <c r="D1423" s="68" t="inlineStr">
        <is>
          <t>일반 기계류 수리업</t>
        </is>
      </c>
      <c r="E1423" s="68" t="inlineStr">
        <is>
          <t>건설ㆍ광업용 기계 및 장비 수리업</t>
        </is>
      </c>
      <c r="F1423" s="68" t="inlineStr">
        <is>
          <t>◦건설 및 광업용 기계◦장비를 전문적으로 수리◦유지하는 산업활동을 말한다.</t>
        </is>
      </c>
      <c r="G1423" s="90" t="n">
        <v>88.90000000000001</v>
      </c>
      <c r="H1423" s="90" t="n">
        <v>0</v>
      </c>
      <c r="I1423" s="90" t="n">
        <v>8</v>
      </c>
    </row>
    <row r="1424">
      <c r="A1424" s="65" t="inlineStr">
        <is>
          <t>922107</t>
        </is>
      </c>
      <c r="B1424" s="68" t="inlineStr">
        <is>
          <t>협회 및 단체, 수리 및 기타 개인서비스업</t>
        </is>
      </c>
      <c r="C1424" s="68" t="inlineStr">
        <is>
          <t>개인 및 소비용품 수리업</t>
        </is>
      </c>
      <c r="D1424" s="68" t="inlineStr">
        <is>
          <t>통신장비 수리업</t>
        </is>
      </c>
      <c r="E1424" s="68" t="inlineStr">
        <is>
          <t>통신장비 수리업</t>
        </is>
      </c>
      <c r="F1424" s="68" t="inlineStr">
        <is>
          <t>◦무선 전화기를 포함한 통신장비를 전문적으로 수리◦유지하는 산업활동을 말한다.
&lt;예 시&gt;
·통신기계기구수리(가정용)
&lt;제 외&gt;
·텔레비전, 라디오 등 가전제품 수리(922104)</t>
        </is>
      </c>
      <c r="G1424" s="90" t="n">
        <v>88.90000000000001</v>
      </c>
      <c r="H1424" s="90" t="n">
        <v>0</v>
      </c>
      <c r="I1424" s="90" t="n">
        <v>20.9</v>
      </c>
    </row>
    <row r="1425">
      <c r="A1425" s="65" t="inlineStr">
        <is>
          <t>922108</t>
        </is>
      </c>
      <c r="B1425" s="68" t="inlineStr">
        <is>
          <t>협회 및 단체, 수리 및 기타 개인서비스업</t>
        </is>
      </c>
      <c r="C1425" s="68" t="inlineStr">
        <is>
          <t>개인 및 소비용품 수리업</t>
        </is>
      </c>
      <c r="D1425" s="68" t="inlineStr">
        <is>
          <t>기타 개인 및 가정용품 수리업</t>
        </is>
      </c>
      <c r="E1425" s="68" t="inlineStr">
        <is>
          <t>가죽, 가방 및 신발 수리업</t>
        </is>
      </c>
      <c r="F1425" s="68" t="inlineStr">
        <is>
          <t>◦각종 가정용 가죽, 가방, 신발 제품을 전문으로 수리하는 산업활동을 말한다.
&lt;예 시&gt;
·신발 수리
·가죽제품 수리
·가방, 지갑, 핸드백 수리
&lt;제 외&gt;
·구두닦기(930925)
·의복 및 가정용 직물제품 수리(922105)</t>
        </is>
      </c>
      <c r="G1425" s="90" t="n">
        <v>89.40000000000001</v>
      </c>
      <c r="H1425" s="90" t="n">
        <v>0</v>
      </c>
      <c r="I1425" s="90" t="n">
        <v>18.6</v>
      </c>
    </row>
    <row r="1426">
      <c r="A1426" s="65" t="inlineStr">
        <is>
          <t>922109</t>
        </is>
      </c>
      <c r="B1426" s="68" t="inlineStr">
        <is>
          <t>협회 및 단체, 수리 및 기타 개인서비스업</t>
        </is>
      </c>
      <c r="C1426" s="68" t="inlineStr">
        <is>
          <t>개인 및 소비용품 수리업</t>
        </is>
      </c>
      <c r="D1426" s="68" t="inlineStr">
        <is>
          <t>기타 개인 및 가정용품 수리업</t>
        </is>
      </c>
      <c r="E1426" s="68" t="inlineStr">
        <is>
          <t>시계, 귀금속 및 악기 수리업</t>
        </is>
      </c>
      <c r="F1426" s="68" t="inlineStr">
        <is>
          <t>◦시계, 귀금속의 장신구 및 악기를 전문적으로 수리하는 산업활동을 말한다.
&lt;예 시&gt;
·시계 수리
·악기 수리
·귀금속 제품 수리</t>
        </is>
      </c>
      <c r="G1426" s="90" t="n">
        <v>89.40000000000001</v>
      </c>
      <c r="H1426" s="90" t="n">
        <v>0</v>
      </c>
      <c r="I1426" s="90" t="n">
        <v>14</v>
      </c>
    </row>
    <row r="1427">
      <c r="A1427" s="65" t="inlineStr">
        <is>
          <t>922201</t>
        </is>
      </c>
      <c r="B1427" s="68" t="inlineStr">
        <is>
          <t>협회 및 단체, 수리 및 기타 개인서비스업</t>
        </is>
      </c>
      <c r="C1427" s="68" t="inlineStr">
        <is>
          <t>개인 및 소비용품 수리업</t>
        </is>
      </c>
      <c r="D1427" s="68" t="inlineStr">
        <is>
          <t>자동차 수리 및 세차업</t>
        </is>
      </c>
      <c r="E1427" s="68" t="inlineStr">
        <is>
          <t>자동차 종합 수리업</t>
        </is>
      </c>
      <c r="F1427" s="68" t="inlineStr">
        <is>
          <t>◦승용차, 트럭 및 트레일러 등의 자동차를 전기 및 기계적인 방법으로 차량 전체 부분을 종합적으로 수리하는 산업활동을 말한다.
&lt;예 시&gt;
·자동차 정비소(종합 수리)
·덤프 및 레미콘 종합 수리
·자동차 종합정비업
·소형 자동차 종합정비업</t>
        </is>
      </c>
      <c r="G1427" s="90" t="n">
        <v>86.5</v>
      </c>
      <c r="H1427" s="90" t="n">
        <v>0</v>
      </c>
      <c r="I1427" s="90" t="n">
        <v>10.2</v>
      </c>
    </row>
    <row r="1428">
      <c r="A1428" s="65" t="inlineStr">
        <is>
          <t>922202</t>
        </is>
      </c>
      <c r="B1428" s="68" t="inlineStr">
        <is>
          <t>협회 및 단체, 수리 및 기타 개인서비스업</t>
        </is>
      </c>
      <c r="C1428" s="68" t="inlineStr">
        <is>
          <t>개인 및 소비용품 수리업</t>
        </is>
      </c>
      <c r="D1428" s="68" t="inlineStr">
        <is>
          <t>자동차 수리 및 세차업</t>
        </is>
      </c>
      <c r="E1428" s="68" t="inlineStr">
        <is>
          <t>자동차 전문 수리업</t>
        </is>
      </c>
      <c r="F1428" s="68" t="inlineStr">
        <is>
          <t>◦자동차의 기관, 차체, 제동 조직, 용접 및 도장, 연계 조직, 차축, 운전 기어 및 튜브, 내장품 등 자동차의 특정 부분만을 전문적으로 수리하는 산업활동을 말한다. 자동차 각 부위의 일상적인 단순 수리활동을 포함한다.
&lt;예 시&gt;
·카센터(전문 수리)
·자동차 타이어 및 튜브 수리
·자동차 도장
·자동차 경정비
·자동차 내장 전문 수리
·카인테리어(전문 수리)
·자동차 유리 및 내장품 수리(내장품 판매 제외)
·원동기 전문 정비업</t>
        </is>
      </c>
      <c r="G1428" s="90" t="n">
        <v>83.90000000000001</v>
      </c>
      <c r="H1428" s="90" t="n">
        <v>0</v>
      </c>
      <c r="I1428" s="90" t="n">
        <v>8.4</v>
      </c>
    </row>
    <row r="1429">
      <c r="A1429" s="65" t="inlineStr">
        <is>
          <t>922203</t>
        </is>
      </c>
      <c r="B1429" s="68" t="inlineStr">
        <is>
          <t>협회 및 단체, 수리 및 기타 개인서비스업</t>
        </is>
      </c>
      <c r="C1429" s="68" t="inlineStr">
        <is>
          <t>개인 및 소비용품 수리업</t>
        </is>
      </c>
      <c r="D1429" s="68" t="inlineStr">
        <is>
          <t>자동차 수리 및 세차업</t>
        </is>
      </c>
      <c r="E1429" s="68" t="inlineStr">
        <is>
          <t>자동차 세차업</t>
        </is>
      </c>
      <c r="F1429" s="68" t="inlineStr">
        <is>
          <t>◦자동차 세차 및 광택처리 등과 유사 활동을 수행하는 산업활동을 말한다.
&lt;예 시&gt;
·동전식 세차장 운영
·차량 광택처리 서비스
·수세식 세차장 운영
·차량 왁스처리
&lt;제 외&gt;
·자동차 도장(수리) 활동(922202)</t>
        </is>
      </c>
      <c r="G1429" s="90" t="n">
        <v>84.90000000000001</v>
      </c>
      <c r="H1429" s="90" t="n">
        <v>0</v>
      </c>
      <c r="I1429" s="90" t="n">
        <v>14</v>
      </c>
    </row>
    <row r="1430">
      <c r="A1430" s="65" t="inlineStr">
        <is>
          <t>922204</t>
        </is>
      </c>
      <c r="B1430" s="68" t="inlineStr">
        <is>
          <t>협회 및 단체, 수리 및 기타 개인서비스업</t>
        </is>
      </c>
      <c r="C1430" s="68" t="inlineStr">
        <is>
          <t>개인 및 소비용품 수리업</t>
        </is>
      </c>
      <c r="D1430" s="68" t="inlineStr">
        <is>
          <t>모터사이클 수리업</t>
        </is>
      </c>
      <c r="E1430" s="68" t="inlineStr">
        <is>
          <t>모터사이클 수리업</t>
        </is>
      </c>
      <c r="F1430" s="68" t="inlineStr">
        <is>
          <t>◦모터사이클 및 설상용 차량을 수리◦유지하는 산업활동을 말한다.
&lt;예 시&gt;
·모터사이클 수리
·오토바이 수리
·설상용 차량 수리</t>
        </is>
      </c>
      <c r="G1430" s="90" t="n">
        <v>87.2</v>
      </c>
      <c r="H1430" s="90" t="n">
        <v>0</v>
      </c>
      <c r="I1430" s="90" t="n">
        <v>5.9</v>
      </c>
    </row>
    <row r="1431">
      <c r="A1431" s="65" t="inlineStr">
        <is>
          <t>923100</t>
        </is>
      </c>
      <c r="B1431" s="68" t="inlineStr">
        <is>
          <t>예술, 스포츠 및 여가관련 서비스업</t>
        </is>
      </c>
      <c r="C1431" s="68" t="inlineStr">
        <is>
          <t>창작, 예술 및 여가관련 서비스업</t>
        </is>
      </c>
      <c r="D1431" s="68" t="inlineStr">
        <is>
          <t>도서관, 기록 보존소 및 독서실 운영업</t>
        </is>
      </c>
      <c r="E1431" s="68" t="inlineStr">
        <is>
          <t>독서실 운영업</t>
        </is>
      </c>
      <c r="F1431" s="68" t="inlineStr">
        <is>
          <t>◦숙박시설 없이 일반 대중을 대상으로 각종 도서를 읽을 수 있는 장소를 제공하는 산업활동을 말한다.
&lt;예 시&gt;
·독서실 운영
&lt;제 외&gt;
·숙박형 독서실(551016)
·「학원의 설립·운영 및 과외교습에 관한 법률」제6조에 따른 독서실에 해당하지 않으나, 카페·독서실 형태의 공간에서 공부, 회의, 토론을 할 수 있는 장소를 제공(예시: 스터디카페→923102)</t>
        </is>
      </c>
      <c r="G1431" s="90" t="n">
        <v>87.40000000000001</v>
      </c>
      <c r="H1431" s="90" t="n">
        <v>0</v>
      </c>
      <c r="I1431" s="90" t="n">
        <v>19.4</v>
      </c>
    </row>
    <row r="1432">
      <c r="A1432" s="65" t="inlineStr">
        <is>
          <t>923101</t>
        </is>
      </c>
      <c r="B1432" s="68" t="inlineStr">
        <is>
          <t>예술, 스포츠 및 여가관련 서비스업</t>
        </is>
      </c>
      <c r="C1432" s="68" t="inlineStr">
        <is>
          <t>창작, 예술 및 여가관련 서비스업</t>
        </is>
      </c>
      <c r="D1432" s="68" t="inlineStr">
        <is>
          <t>도서관, 기록 보존소 및 독서실 운영업</t>
        </is>
      </c>
      <c r="E1432" s="68" t="inlineStr">
        <is>
          <t>도서관 및 기록 보존소 운영업</t>
        </is>
      </c>
      <c r="F1432" s="68" t="inlineStr">
        <is>
          <t>◦열람시설을 갖추고 도서 열람 서비스를 제공하는 도서관, 시청각실, 자료센터, 기록 보존소 등을 운영하는 산업활동을 말한다. 이 사업체는 기록물들을 인터넷 등으로 제공할 수 있다.
&lt;예 시&gt;
·도서관(국·공·사립)
·시청각실
·기록 매체 보존소
·책 기록 보존소
&lt;제 외&gt;
·서적을 임대하는 활동(713005)
·데이터 베이스 구축 활동(724000)
·각 기관 직원 전용 부설 도서실은 그 기관의 산업활동에 따라 분류</t>
        </is>
      </c>
      <c r="G1432" s="90" t="n">
        <v>83.90000000000001</v>
      </c>
      <c r="H1432" s="90" t="n">
        <v>0</v>
      </c>
      <c r="I1432" s="90" t="n">
        <v>16.2</v>
      </c>
    </row>
    <row r="1433">
      <c r="A1433" s="65" t="inlineStr">
        <is>
          <t>923102</t>
        </is>
      </c>
      <c r="B1433" s="68" t="inlineStr">
        <is>
          <t>예술, 스포츠 및 여가관련 서비스업</t>
        </is>
      </c>
      <c r="C1433" s="68" t="inlineStr">
        <is>
          <t>창작, 예술 및 여가관련 서비스업</t>
        </is>
      </c>
      <c r="D1433" s="68" t="inlineStr">
        <is>
          <t>도서관, 기록 보존소 및 독서실 운영업</t>
        </is>
      </c>
      <c r="E1433" s="68" t="inlineStr">
        <is>
          <t>독서실 운영업</t>
        </is>
      </c>
      <c r="F1433" s="68" t="inlineStr">
        <is>
          <t>◦숙박 시설 없이 일반 대중을 대상으로 카페･독서실 형태의 공간에서 공부, 회의, 토론을 할 수 있는 장소를 제공하는 산업 활동
&lt;예 시&gt; 스터디카페 운영
&lt;제 외&gt;
·독서실(923100)
·숙박형 독서실(551016)</t>
        </is>
      </c>
      <c r="G1433" s="90" t="n">
        <v>87.40000000000001</v>
      </c>
      <c r="H1433" s="90" t="n">
        <v>0</v>
      </c>
      <c r="I1433" s="90" t="n">
        <v>22.5</v>
      </c>
    </row>
    <row r="1434">
      <c r="A1434" s="65" t="inlineStr">
        <is>
          <t>923200</t>
        </is>
      </c>
      <c r="B1434" s="68" t="inlineStr">
        <is>
          <t>예술, 스포츠 및 여가관련 서비스업</t>
        </is>
      </c>
      <c r="C1434" s="68" t="inlineStr">
        <is>
          <t>창작, 예술 및 여가관련 서비스업</t>
        </is>
      </c>
      <c r="D1434" s="68" t="inlineStr">
        <is>
          <t>박물관 및 사적지 관리 운영업</t>
        </is>
      </c>
      <c r="E1434" s="68" t="inlineStr">
        <is>
          <t>박물관 운영업</t>
        </is>
      </c>
      <c r="F1434" s="68" t="inlineStr">
        <is>
          <t>◦일반 대중에게 미술 공예품, 조각품, 순수 과학물, 응용 과학물, 문화재 등을 진열하여 관람시키는 일반 또는 전문 박물관 시설을 운영하는 산업활동을 말한다.
&lt;예 시&gt;
·천문관
·과학관
·미술관
·예술품 전시관
·역사 박물관
&lt;제 외&gt;
·미술품을 소매하는 화랑(523952)</t>
        </is>
      </c>
      <c r="G1434" s="90" t="n">
        <v>89.59999999999999</v>
      </c>
      <c r="H1434" s="90" t="n">
        <v>0</v>
      </c>
      <c r="I1434" s="90" t="n">
        <v>19.8</v>
      </c>
    </row>
    <row r="1435">
      <c r="A1435" s="65" t="inlineStr">
        <is>
          <t>923201</t>
        </is>
      </c>
      <c r="B1435" s="68" t="inlineStr">
        <is>
          <t>예술, 스포츠 및 여가관련 서비스업</t>
        </is>
      </c>
      <c r="C1435" s="68" t="inlineStr">
        <is>
          <t>창작, 예술 및 여가관련 서비스업</t>
        </is>
      </c>
      <c r="D1435" s="68" t="inlineStr">
        <is>
          <t>박물관 및 사적지 관리 운영업</t>
        </is>
      </c>
      <c r="E1435" s="68" t="inlineStr">
        <is>
          <t>사적지 관리 운영업</t>
        </is>
      </c>
      <c r="F1435" s="68" t="inlineStr">
        <is>
          <t>◦역사적인 유적지, 전적지, 사적지, 고궁 등 사적 명소를 보존◦전시하는 산업활동을 말한다.</t>
        </is>
      </c>
      <c r="G1435" s="90" t="n">
        <v>87.90000000000001</v>
      </c>
      <c r="H1435" s="90" t="n">
        <v>0</v>
      </c>
      <c r="I1435" s="90" t="n">
        <v>19.1</v>
      </c>
    </row>
    <row r="1436">
      <c r="A1436" s="65" t="inlineStr">
        <is>
          <t>923300</t>
        </is>
      </c>
      <c r="B1436" s="68" t="inlineStr">
        <is>
          <t>예술, 스포츠 및 여가관련 서비스업</t>
        </is>
      </c>
      <c r="C1436" s="68" t="inlineStr">
        <is>
          <t>창작, 예술 및 여가관련 서비스업</t>
        </is>
      </c>
      <c r="D1436" s="68" t="inlineStr">
        <is>
          <t>식물원, 동물원 및 자연공원 운영업</t>
        </is>
      </c>
      <c r="E1436" s="68" t="inlineStr">
        <is>
          <t>식물원 및 동물원 운영업</t>
        </is>
      </c>
      <c r="F1436" s="68" t="inlineStr">
        <is>
          <t>◦일반 대중이 관람할 수 있도록 산식물 및 산동물을 일정 시설에서 보존◦관리하는 산업활동을 말하며, 관람 목적의 수족관 운영도 포함한다.
&lt;제 외&gt;
·관상어를 소매하는 수족관 운영(523996)</t>
        </is>
      </c>
      <c r="G1436" s="90" t="n">
        <v>87.5</v>
      </c>
      <c r="H1436" s="90" t="n">
        <v>0</v>
      </c>
      <c r="I1436" s="90" t="n">
        <v>19.7</v>
      </c>
    </row>
    <row r="1437">
      <c r="A1437" s="65" t="inlineStr">
        <is>
          <t>923301</t>
        </is>
      </c>
      <c r="B1437" s="68" t="inlineStr">
        <is>
          <t>예술, 스포츠 및 여가관련 서비스업</t>
        </is>
      </c>
      <c r="C1437" s="68" t="inlineStr">
        <is>
          <t>창작, 예술 및 여가관련 서비스업</t>
        </is>
      </c>
      <c r="D1437" s="68" t="inlineStr">
        <is>
          <t>기타 유사 여가관련 서비스업</t>
        </is>
      </c>
      <c r="E1437" s="68" t="inlineStr">
        <is>
          <t>기타 유사 여가관련 서비스업</t>
        </is>
      </c>
      <c r="F1437" s="68" t="inlineStr">
        <is>
          <t>◦달리 분류되지 않은 유사 여가관련 산업활동을 말한다.
&lt;예 시&gt;
·천연 동굴 관리 운영</t>
        </is>
      </c>
      <c r="G1437" s="90" t="n">
        <v>88.90000000000001</v>
      </c>
      <c r="H1437" s="90" t="n">
        <v>0</v>
      </c>
      <c r="I1437" s="90" t="n">
        <v>21.5</v>
      </c>
    </row>
    <row r="1438">
      <c r="A1438" s="65" t="inlineStr">
        <is>
          <t>924101</t>
        </is>
      </c>
      <c r="B1438" s="68" t="inlineStr">
        <is>
          <t>예술, 스포츠 및 여가관련 서비스업</t>
        </is>
      </c>
      <c r="C1438" s="68" t="inlineStr">
        <is>
          <t>스포츠 및 오락관련 서비스업</t>
        </is>
      </c>
      <c r="D1438" s="68" t="inlineStr">
        <is>
          <t>기타 스포츠 서비스업</t>
        </is>
      </c>
      <c r="E1438" s="68" t="inlineStr">
        <is>
          <t>그 외 기타 스포츠 서비스업</t>
        </is>
      </c>
      <c r="F1438" s="68" t="inlineStr">
        <is>
          <t>◦이 산업에는 스포츠 행사 기획자, 경기 후원단체, 스포츠 연맹 및 규제 단체 활동, 경마 및 경주견 훈련활동 등을 포함한다.
&lt;제 외&gt;
·개인교사, 지도자에 의한 스포츠 지도(940903)
·직업운동가(940904)
*개인마주(→924102)</t>
        </is>
      </c>
      <c r="G1438" s="90" t="n">
        <v>84.90000000000001</v>
      </c>
      <c r="H1438" s="90" t="n">
        <v>0</v>
      </c>
      <c r="I1438" s="90" t="n">
        <v>33.6</v>
      </c>
    </row>
    <row r="1439">
      <c r="A1439" s="65" t="inlineStr">
        <is>
          <t>924102</t>
        </is>
      </c>
      <c r="B1439" s="68" t="inlineStr">
        <is>
          <t>예술, 스포츠 및 여가관련 서비스업</t>
        </is>
      </c>
      <c r="C1439" s="68" t="inlineStr">
        <is>
          <t>스포츠 및 오락관련 서비스업</t>
        </is>
      </c>
      <c r="D1439" s="68" t="inlineStr">
        <is>
          <t>기타 스포츠 서비스업</t>
        </is>
      </c>
      <c r="E1439" s="68" t="inlineStr">
        <is>
          <t>그 외 기타 스포츠 서비스업</t>
        </is>
      </c>
      <c r="F1439" s="68" t="inlineStr">
        <is>
          <t>◦개인마주</t>
        </is>
      </c>
      <c r="G1439" s="90" t="n">
        <v>85.3</v>
      </c>
      <c r="H1439" s="90" t="n">
        <v>0</v>
      </c>
      <c r="I1439" s="90" t="n">
        <v>30.2</v>
      </c>
    </row>
    <row r="1440">
      <c r="A1440" s="65" t="inlineStr">
        <is>
          <t>924103</t>
        </is>
      </c>
      <c r="B1440" s="68" t="inlineStr">
        <is>
          <t>예술, 스포츠 및 여가관련 서비스업</t>
        </is>
      </c>
      <c r="C1440" s="68" t="inlineStr">
        <is>
          <t>스포츠 및 오락관련 서비스업</t>
        </is>
      </c>
      <c r="D1440" s="68" t="inlineStr">
        <is>
          <t>기타 스포츠 서비스업</t>
        </is>
      </c>
      <c r="E1440" s="68" t="inlineStr">
        <is>
          <t>스포츠 클럽 운영업</t>
        </is>
      </c>
      <c r="F1440" s="68" t="inlineStr">
        <is>
          <t>◦프로 및 실업 경기단체 등과 같이 스포츠 활동에 참가할 기회를 제공해주는 스포츠 클럽을 운영하는 산업활동을 말한다. 여기에는 게임단을 운영하는 산업활동을 포함한다.
&lt;예 시&gt;
·프로야구단
·프로축구단
·동계 스포츠 클럽
·실업 경기단체
·체스 클럽
·사격 클럽
·프로게임단
&lt;제 외&gt;
·단순 친목의 운동 동호회 활동(949900)</t>
        </is>
      </c>
      <c r="G1440" s="90" t="n">
        <v>81.59999999999999</v>
      </c>
      <c r="H1440" s="90" t="n">
        <v>0</v>
      </c>
      <c r="I1440" s="90" t="n">
        <v>17.5</v>
      </c>
    </row>
    <row r="1441">
      <c r="A1441" s="65" t="inlineStr">
        <is>
          <t>924200</t>
        </is>
      </c>
      <c r="B1441" s="68" t="inlineStr">
        <is>
          <t>예술, 스포츠 및 여가관련 서비스업</t>
        </is>
      </c>
      <c r="C1441" s="68" t="inlineStr">
        <is>
          <t>스포츠 및 오락관련 서비스업</t>
        </is>
      </c>
      <c r="D1441" s="68" t="inlineStr">
        <is>
          <t>경기장 운영업</t>
        </is>
      </c>
      <c r="E1441" s="68" t="inlineStr">
        <is>
          <t>실내 경기장 운영업</t>
        </is>
      </c>
      <c r="F1441" s="68" t="inlineStr">
        <is>
          <t>◦농구, 배구, 권투, 레슬링, 유도, 태권도, 씨름, 수영 등의 경기를 위한 관람석이 있는 실내 경기장을 운영하는 산업활동을 말한다.</t>
        </is>
      </c>
      <c r="G1441" s="90" t="n">
        <v>87.59999999999999</v>
      </c>
      <c r="H1441" s="90" t="n">
        <v>0</v>
      </c>
      <c r="I1441" s="90" t="n">
        <v>23.4</v>
      </c>
    </row>
    <row r="1442">
      <c r="A1442" s="65" t="inlineStr">
        <is>
          <t>924201</t>
        </is>
      </c>
      <c r="B1442" s="68" t="inlineStr">
        <is>
          <t>예술, 스포츠 및 여가관련 서비스업</t>
        </is>
      </c>
      <c r="C1442" s="68" t="inlineStr">
        <is>
          <t>스포츠 및 오락관련 서비스업</t>
        </is>
      </c>
      <c r="D1442" s="68" t="inlineStr">
        <is>
          <t>경기장 운영업</t>
        </is>
      </c>
      <c r="E1442" s="68" t="inlineStr">
        <is>
          <t>실외 경기장 운영업</t>
        </is>
      </c>
      <c r="F1442" s="68" t="inlineStr">
        <is>
          <t>◦육상 경기, 축구, 야구, 럭비, 하키 등 각종 필드 경기를 위한 관람석이 있는 실외 경기장을 운영하는 산업활동을 말한다.</t>
        </is>
      </c>
      <c r="G1442" s="90" t="n">
        <v>82.7</v>
      </c>
      <c r="H1442" s="90" t="n">
        <v>0</v>
      </c>
      <c r="I1442" s="90" t="n">
        <v>18.4</v>
      </c>
    </row>
    <row r="1443">
      <c r="A1443" s="65" t="inlineStr">
        <is>
          <t>924202</t>
        </is>
      </c>
      <c r="B1443" s="68" t="inlineStr">
        <is>
          <t>예술, 스포츠 및 여가관련 서비스업</t>
        </is>
      </c>
      <c r="C1443" s="68" t="inlineStr">
        <is>
          <t>스포츠 및 오락관련 서비스업</t>
        </is>
      </c>
      <c r="D1443" s="68" t="inlineStr">
        <is>
          <t>경기장 운영업</t>
        </is>
      </c>
      <c r="E1443" s="68" t="inlineStr">
        <is>
          <t>경주장 및 동물 경기장 운영업</t>
        </is>
      </c>
      <c r="F1443" s="68" t="inlineStr">
        <is>
          <t>◦자동차 경주, 경마, 경륜 등을 위한 관람석이 있는 경주장을 운영하는 산업활동을 말한다. 동물을 이용한 투우 등 비경주 경기를 위한 경기장도 포함한다.
&lt;예 시&gt;
·경륜장
·자동차 경주장
·경마장
·투우장
&lt;제 외&gt;
·경기장과 독립된 마권 등 경주권 발행소(924917)</t>
        </is>
      </c>
      <c r="G1443" s="90" t="n">
        <v>82.7</v>
      </c>
      <c r="H1443" s="90" t="n">
        <v>0</v>
      </c>
      <c r="I1443" s="90" t="n">
        <v>18.4</v>
      </c>
    </row>
    <row r="1444">
      <c r="A1444" s="65" t="inlineStr">
        <is>
          <t>924302</t>
        </is>
      </c>
      <c r="B1444" s="68" t="inlineStr">
        <is>
          <t>예술, 스포츠 및 여가관련 서비스업</t>
        </is>
      </c>
      <c r="C1444" s="68" t="inlineStr">
        <is>
          <t>스포츠 및 오락관련 서비스업</t>
        </is>
      </c>
      <c r="D1444" s="68" t="inlineStr">
        <is>
          <t>기타 스포츠시설 운영업</t>
        </is>
      </c>
      <c r="E1444" s="68" t="inlineStr">
        <is>
          <t>볼링장 운영업</t>
        </is>
      </c>
      <c r="F1444" s="68" t="inlineStr">
        <is>
          <t>◦볼링장 시설을 운영하는 산업활동을 말한다.</t>
        </is>
      </c>
      <c r="G1444" s="90" t="n">
        <v>87.2</v>
      </c>
      <c r="H1444" s="90" t="n">
        <v>0</v>
      </c>
      <c r="I1444" s="90" t="n">
        <v>17.6</v>
      </c>
    </row>
    <row r="1445">
      <c r="A1445" s="65" t="inlineStr">
        <is>
          <t>924303</t>
        </is>
      </c>
      <c r="B1445" s="68" t="inlineStr">
        <is>
          <t>예술, 스포츠 및 여가관련 서비스업</t>
        </is>
      </c>
      <c r="C1445" s="68" t="inlineStr">
        <is>
          <t>스포츠 및 오락관련 서비스업</t>
        </is>
      </c>
      <c r="D1445" s="68" t="inlineStr">
        <is>
          <t>골프장 및 스키장 운영업</t>
        </is>
      </c>
      <c r="E1445" s="68" t="inlineStr">
        <is>
          <t>골프장 운영업</t>
        </is>
      </c>
      <c r="F1445" s="68" t="inlineStr">
        <is>
          <t>◦골프 코스 및 기타 관련 설비를 운영하는 산업활동을 말한다. 본질적인 산업활동을 수행하면서 부수적으로 관련 장비 임대 및 강습을 수행할 수 있다.
&lt;제 외&gt;
·골프 연습장(924307, 924308)</t>
        </is>
      </c>
      <c r="G1445" s="90" t="n">
        <v>81</v>
      </c>
      <c r="H1445" s="90" t="n">
        <v>0</v>
      </c>
      <c r="I1445" s="90" t="n">
        <v>23.5</v>
      </c>
    </row>
    <row r="1446">
      <c r="A1446" s="65" t="inlineStr">
        <is>
          <t>924304</t>
        </is>
      </c>
      <c r="B1446" s="68" t="inlineStr">
        <is>
          <t>예술, 스포츠 및 여가관련 서비스업</t>
        </is>
      </c>
      <c r="C1446" s="68" t="inlineStr">
        <is>
          <t>스포츠 및 오락관련 서비스업</t>
        </is>
      </c>
      <c r="D1446" s="68" t="inlineStr">
        <is>
          <t>골프장 및 스키장 운영업</t>
        </is>
      </c>
      <c r="E1446" s="68" t="inlineStr">
        <is>
          <t>스키장 운영업</t>
        </is>
      </c>
      <c r="F1446" s="68" t="inlineStr">
        <is>
          <t>◦숙박시설과 독립된 스키장 및 스키리프트를 운영하는 산업활동을 말한다. 본질적인 산업활동을 수행하면서 부수적으로 스키강습 및 장비임대 등을 할 수 있다.
&lt;제 외&gt;
·눈썰매장(924310)
·숙박시설과 결합된 스키장(551004)</t>
        </is>
      </c>
      <c r="G1446" s="90" t="n">
        <v>77.7</v>
      </c>
      <c r="H1446" s="90" t="n">
        <v>0</v>
      </c>
      <c r="I1446" s="90" t="n">
        <v>22.6</v>
      </c>
    </row>
    <row r="1447">
      <c r="A1447" s="65" t="inlineStr">
        <is>
          <t>924305</t>
        </is>
      </c>
      <c r="B1447" s="68" t="inlineStr">
        <is>
          <t>예술, 스포츠 및 여가관련 서비스업</t>
        </is>
      </c>
      <c r="C1447" s="68" t="inlineStr">
        <is>
          <t>스포츠 및 오락관련 서비스업</t>
        </is>
      </c>
      <c r="D1447" s="68" t="inlineStr">
        <is>
          <t>기타 스포츠시설 운영업</t>
        </is>
      </c>
      <c r="E1447" s="68" t="inlineStr">
        <is>
          <t>체력 단련시설 운영업</t>
        </is>
      </c>
      <c r="F1447" s="68" t="inlineStr">
        <is>
          <t>◦심신을 단련하는 시설을 운영하는 산업활동을 말한다.
&lt;예 시&gt;
·헬스 클럽
&lt;제 외&gt;
·무도장(921904)
·교육 목적의 체력 단련시설 운영(809014)</t>
        </is>
      </c>
      <c r="G1447" s="90" t="n">
        <v>85.5</v>
      </c>
      <c r="H1447" s="90" t="n">
        <v>0</v>
      </c>
      <c r="I1447" s="90" t="n">
        <v>22.8</v>
      </c>
    </row>
    <row r="1448">
      <c r="A1448" s="65" t="inlineStr">
        <is>
          <t>924306</t>
        </is>
      </c>
      <c r="B1448" s="68" t="inlineStr">
        <is>
          <t>예술, 스포츠 및 여가관련 서비스업</t>
        </is>
      </c>
      <c r="C1448" s="68" t="inlineStr">
        <is>
          <t>스포츠 및 오락관련 서비스업</t>
        </is>
      </c>
      <c r="D1448" s="68" t="inlineStr">
        <is>
          <t>기타 스포츠시설 운영업</t>
        </is>
      </c>
      <c r="E1448" s="68" t="inlineStr">
        <is>
          <t>그 외 기타 스포츠시설 운영업</t>
        </is>
      </c>
      <c r="F1448" s="68" t="inlineStr">
        <is>
          <t>◦스트레스해소방</t>
        </is>
      </c>
      <c r="G1448" s="90" t="n">
        <v>83.40000000000001</v>
      </c>
      <c r="H1448" s="90" t="n">
        <v>0</v>
      </c>
      <c r="I1448" s="90" t="n">
        <v>19.6</v>
      </c>
    </row>
    <row r="1449">
      <c r="A1449" s="65" t="inlineStr">
        <is>
          <t>924307</t>
        </is>
      </c>
      <c r="B1449" s="68" t="inlineStr">
        <is>
          <t>예술, 스포츠 및 여가관련 서비스업</t>
        </is>
      </c>
      <c r="C1449" s="68" t="inlineStr">
        <is>
          <t>스포츠 및 오락관련 서비스업</t>
        </is>
      </c>
      <c r="D1449" s="68" t="inlineStr">
        <is>
          <t>기타 스포츠시설 운영업</t>
        </is>
      </c>
      <c r="E1449" s="68" t="inlineStr">
        <is>
          <t>골프 연습장 운영업</t>
        </is>
      </c>
      <c r="F1449" s="68" t="inlineStr">
        <is>
          <t>◦야외 골프 연습장 시설을 운영하는 산업활동을 말한다.
&lt;예 시&gt;
·야외 그물망설치 골프연습장
&lt;제 외&gt;
*실내 골프 연습장 시설 운영(→924308)</t>
        </is>
      </c>
      <c r="G1449" s="90" t="n">
        <v>83.40000000000001</v>
      </c>
      <c r="H1449" s="90" t="n">
        <v>0</v>
      </c>
      <c r="I1449" s="90" t="n">
        <v>21.2</v>
      </c>
    </row>
    <row r="1450">
      <c r="A1450" s="65" t="inlineStr">
        <is>
          <t>924308</t>
        </is>
      </c>
      <c r="B1450" s="68" t="inlineStr">
        <is>
          <t>예술, 스포츠 및 여가관련 서비스업</t>
        </is>
      </c>
      <c r="C1450" s="68" t="inlineStr">
        <is>
          <t>스포츠 및 오락관련 서비스업</t>
        </is>
      </c>
      <c r="D1450" s="68" t="inlineStr">
        <is>
          <t>기타 스포츠시설 운영업</t>
        </is>
      </c>
      <c r="E1450" s="68" t="inlineStr">
        <is>
          <t>골프 연습장 운영업</t>
        </is>
      </c>
      <c r="F1450" s="68" t="inlineStr">
        <is>
          <t>◦실내 골프 연습장 시설을 운영하는 산업활동을 말한다.
&lt;예 시&gt;
·실내 스크린 골프연습장
&lt;제 외&gt;
*야외 골프 연습장 시설 운영(→924307)</t>
        </is>
      </c>
      <c r="G1450" s="90" t="n">
        <v>88.90000000000001</v>
      </c>
      <c r="H1450" s="90" t="n">
        <v>0</v>
      </c>
      <c r="I1450" s="90" t="n">
        <v>25.4</v>
      </c>
    </row>
    <row r="1451">
      <c r="A1451" s="65" t="inlineStr">
        <is>
          <t>924309</t>
        </is>
      </c>
      <c r="B1451" s="68" t="inlineStr">
        <is>
          <t>예술, 스포츠 및 여가관련 서비스업</t>
        </is>
      </c>
      <c r="C1451" s="68" t="inlineStr">
        <is>
          <t>스포츠 및 오락관련 서비스업</t>
        </is>
      </c>
      <c r="D1451" s="68" t="inlineStr">
        <is>
          <t>기타 스포츠시설 운영업</t>
        </is>
      </c>
      <c r="E1451" s="68" t="inlineStr">
        <is>
          <t>당구장 운영업</t>
        </is>
      </c>
      <c r="F1451" s="68" t="inlineStr">
        <is>
          <t>◦당구장 시설을 운영하는 산업활동을 말한다.</t>
        </is>
      </c>
      <c r="G1451" s="90" t="n">
        <v>84.09999999999999</v>
      </c>
      <c r="H1451" s="90" t="n">
        <v>0</v>
      </c>
      <c r="I1451" s="90" t="n">
        <v>17.5</v>
      </c>
    </row>
    <row r="1452">
      <c r="A1452" s="65" t="inlineStr">
        <is>
          <t>924310</t>
        </is>
      </c>
      <c r="B1452" s="68" t="inlineStr">
        <is>
          <t>예술, 스포츠 및 여가관련 서비스업</t>
        </is>
      </c>
      <c r="C1452" s="68" t="inlineStr">
        <is>
          <t>스포츠 및 오락관련 서비스업</t>
        </is>
      </c>
      <c r="D1452" s="68" t="inlineStr">
        <is>
          <t>기타 스포츠시설 운영업</t>
        </is>
      </c>
      <c r="E1452" s="68" t="inlineStr">
        <is>
          <t>그 외 기타 스포츠시설 운영업</t>
        </is>
      </c>
      <c r="F1452" s="68" t="inlineStr">
        <is>
          <t>◦눈썰매장
&lt;예 시&gt;
·빙상장운영, 잔디썰매장</t>
        </is>
      </c>
      <c r="G1452" s="90" t="n">
        <v>87.59999999999999</v>
      </c>
      <c r="H1452" s="90" t="n">
        <v>0</v>
      </c>
      <c r="I1452" s="90" t="n">
        <v>18.9</v>
      </c>
    </row>
    <row r="1453">
      <c r="A1453" s="65" t="inlineStr">
        <is>
          <t>924311</t>
        </is>
      </c>
      <c r="B1453" s="68" t="inlineStr">
        <is>
          <t>예술, 스포츠 및 여가관련 서비스업</t>
        </is>
      </c>
      <c r="C1453" s="68" t="inlineStr">
        <is>
          <t>스포츠 및 오락관련 서비스업</t>
        </is>
      </c>
      <c r="D1453" s="68" t="inlineStr">
        <is>
          <t>기타 스포츠시설 운영업</t>
        </is>
      </c>
      <c r="E1453" s="68" t="inlineStr">
        <is>
          <t>수영장 운영업</t>
        </is>
      </c>
      <c r="F1453" s="68" t="inlineStr">
        <is>
          <t>◦관람석이 없는 수영장을 운영하는 사업체의 산업활동을 말한다.
&lt;제 외&gt;
·관람석이 있는 실내 수영경기장(924200)</t>
        </is>
      </c>
      <c r="G1453" s="90" t="n">
        <v>83.40000000000001</v>
      </c>
      <c r="H1453" s="90" t="n">
        <v>0</v>
      </c>
      <c r="I1453" s="90" t="n">
        <v>15.6</v>
      </c>
    </row>
    <row r="1454">
      <c r="A1454" s="65" t="inlineStr">
        <is>
          <t>924312</t>
        </is>
      </c>
      <c r="B1454" s="68" t="inlineStr">
        <is>
          <t>예술, 스포츠 및 여가관련 서비스업</t>
        </is>
      </c>
      <c r="C1454" s="68" t="inlineStr">
        <is>
          <t>스포츠 및 오락관련 서비스업</t>
        </is>
      </c>
      <c r="D1454" s="68" t="inlineStr">
        <is>
          <t>기타 스포츠시설 운영업</t>
        </is>
      </c>
      <c r="E1454" s="68" t="inlineStr">
        <is>
          <t>그 외 기타 스포츠시설 운영업</t>
        </is>
      </c>
      <c r="F1454" s="68" t="inlineStr">
        <is>
          <t>◦라켓볼ㆍ스쿼시경기장</t>
        </is>
      </c>
      <c r="G1454" s="90" t="n">
        <v>82.40000000000001</v>
      </c>
      <c r="H1454" s="90" t="n">
        <v>0</v>
      </c>
      <c r="I1454" s="90" t="n">
        <v>26</v>
      </c>
    </row>
    <row r="1455">
      <c r="A1455" s="65" t="inlineStr">
        <is>
          <t>924313</t>
        </is>
      </c>
      <c r="B1455" s="68" t="inlineStr">
        <is>
          <t>예술, 스포츠 및 여가관련 서비스업</t>
        </is>
      </c>
      <c r="C1455" s="68" t="inlineStr">
        <is>
          <t>스포츠 및 오락관련 서비스업</t>
        </is>
      </c>
      <c r="D1455" s="68" t="inlineStr">
        <is>
          <t>기타 스포츠시설 운영업</t>
        </is>
      </c>
      <c r="E1455" s="68" t="inlineStr">
        <is>
          <t>종합 스포츠시설 운영업</t>
        </is>
      </c>
      <c r="F1455" s="68" t="inlineStr">
        <is>
          <t>◦동일 장소에서 경기장, 골프장, 스키장을 제외한 두 종류 이상의 스포츠 운동시설을 복합적으로 운영하는 산업활동을 말한다.
&lt;예 시&gt;
·종합 체육시설
·복합 체육시설</t>
        </is>
      </c>
      <c r="G1455" s="90" t="n">
        <v>82.3</v>
      </c>
      <c r="H1455" s="90" t="n">
        <v>0</v>
      </c>
      <c r="I1455" s="90" t="n">
        <v>24.8</v>
      </c>
    </row>
    <row r="1456">
      <c r="A1456" s="65" t="inlineStr">
        <is>
          <t>924314</t>
        </is>
      </c>
      <c r="B1456" s="68" t="inlineStr">
        <is>
          <t>예술, 스포츠 및 여가관련 서비스업</t>
        </is>
      </c>
      <c r="C1456" s="68" t="inlineStr">
        <is>
          <t>스포츠 및 오락관련 서비스업</t>
        </is>
      </c>
      <c r="D1456" s="68" t="inlineStr">
        <is>
          <t>기타 스포츠시설 운영업</t>
        </is>
      </c>
      <c r="E1456" s="68" t="inlineStr">
        <is>
          <t>그 외 기타 스포츠시설 운영업</t>
        </is>
      </c>
      <c r="F1456" s="68" t="inlineStr">
        <is>
          <t>◦달리 분류되지 않은 운동시설을 운영하는 산업활동을 말한다. 이 사업체는 부수적으로 강습 및 관련 장비의 임대 활동 등을 수행할 수 있다.
&lt;예 시&gt;
·야구 연습장
·롤러 스케이트장
·승마 연습장
·요트장
·조정장
·카누장
·오락용이 아닌 공기총, 클레이 사격장
·게이트볼장
·국궁장, 석궁장
·실내 암벽시설
&lt;제 외&gt;
·오락용 사격장(924902)
*정구장, 테니스장, 탁구장 등 기타 라켓게임 운영(→809006)
*라켓볼ㆍ스쿼시경기장(→924312)
*스트레스해소방(→924306)
*눈썰매장(→924310)</t>
        </is>
      </c>
      <c r="G1456" s="90" t="n">
        <v>87.8</v>
      </c>
      <c r="H1456" s="90" t="n">
        <v>0</v>
      </c>
      <c r="I1456" s="90" t="n">
        <v>20.6</v>
      </c>
    </row>
    <row r="1457">
      <c r="A1457" s="65" t="inlineStr">
        <is>
          <t>924901</t>
        </is>
      </c>
      <c r="B1457" s="68" t="inlineStr">
        <is>
          <t>정보통신업</t>
        </is>
      </c>
      <c r="C1457" s="68" t="inlineStr">
        <is>
          <t>영상ㆍ오디오 기록물 제작 및 배급업</t>
        </is>
      </c>
      <c r="D1457" s="68" t="inlineStr">
        <is>
          <t>오디오물 출판 및 원판 녹음업</t>
        </is>
      </c>
      <c r="E1457" s="68" t="inlineStr">
        <is>
          <t>녹음시설 운영업</t>
        </is>
      </c>
      <c r="F1457" s="68" t="inlineStr">
        <is>
          <t>◦계약에 의하여 음반, 테이프 및 기타 오디오 기록물에 소리를 녹음하여 오디오 기록물 원판을 생산하는 산업활동을 말한다.
&lt;예 시&gt;
·녹음시설 운영
·계약에 의한 음반 원판 생산
&lt;제 외&gt;
·음반 기획 제작 및 출판(221300)
·오디오물 복제활동(223001)</t>
        </is>
      </c>
      <c r="G1457" s="90" t="n">
        <v>80.40000000000001</v>
      </c>
      <c r="H1457" s="90" t="n">
        <v>0</v>
      </c>
      <c r="I1457" s="90" t="n">
        <v>28.8</v>
      </c>
    </row>
    <row r="1458">
      <c r="A1458" s="65" t="inlineStr">
        <is>
          <t>924902</t>
        </is>
      </c>
      <c r="B1458" s="68" t="inlineStr">
        <is>
          <t>예술, 스포츠 및 여가관련 서비스업</t>
        </is>
      </c>
      <c r="C1458" s="68" t="inlineStr">
        <is>
          <t>스포츠 및 오락관련 서비스업</t>
        </is>
      </c>
      <c r="D1458" s="68" t="inlineStr">
        <is>
          <t>오락장 운영업</t>
        </is>
      </c>
      <c r="E1458" s="68" t="inlineStr">
        <is>
          <t>기타 오락장 운영업</t>
        </is>
      </c>
      <c r="F1458" s="68" t="inlineStr">
        <is>
          <t>◦이 산업에는 오락적 성격의 관람 및 놀이시설을 운영하는 산업활동을 포함한다.
&lt;예 시&gt;
·유령의 집(관람장)
·기계적 동물 모형 관람장
·오락 사격장
·모형 관람시설 운영
·목마 놀이시설 운영
&lt;제 외&gt;
·유원지 및 테마파크 운영업(921903)
*전화방(→924904)
*보드게임방(→924913)</t>
        </is>
      </c>
      <c r="G1458" s="90" t="n">
        <v>84.09999999999999</v>
      </c>
      <c r="H1458" s="90" t="n">
        <v>0</v>
      </c>
      <c r="I1458" s="90" t="n">
        <v>17.7</v>
      </c>
    </row>
    <row r="1459">
      <c r="A1459" s="65" t="inlineStr">
        <is>
          <t>924903</t>
        </is>
      </c>
      <c r="B1459" s="68" t="inlineStr">
        <is>
          <t>예술, 스포츠 및 여가관련 서비스업</t>
        </is>
      </c>
      <c r="C1459" s="68" t="inlineStr">
        <is>
          <t>스포츠 및 오락관련 서비스업</t>
        </is>
      </c>
      <c r="D1459" s="68" t="inlineStr">
        <is>
          <t>오락장 운영업</t>
        </is>
      </c>
      <c r="E1459" s="68" t="inlineStr">
        <is>
          <t>노래 연습장 운영업</t>
        </is>
      </c>
      <c r="F1459" s="68" t="inlineStr">
        <is>
          <t>◦노래 연습장을 운영하는 산업활동을 말한다.
&lt;제 외&gt;
·가요 주점(552201~552210)</t>
        </is>
      </c>
      <c r="G1459" s="90" t="n">
        <v>84.59999999999999</v>
      </c>
      <c r="H1459" s="90" t="n">
        <v>0</v>
      </c>
      <c r="I1459" s="90" t="n">
        <v>14.8</v>
      </c>
    </row>
    <row r="1460">
      <c r="A1460" s="65" t="inlineStr">
        <is>
          <t>924904</t>
        </is>
      </c>
      <c r="B1460" s="68" t="inlineStr">
        <is>
          <t>예술, 스포츠 및 여가관련 서비스업</t>
        </is>
      </c>
      <c r="C1460" s="68" t="inlineStr">
        <is>
          <t>스포츠 및 오락관련 서비스업</t>
        </is>
      </c>
      <c r="D1460" s="68" t="inlineStr">
        <is>
          <t>오락장 운영업</t>
        </is>
      </c>
      <c r="E1460" s="68" t="inlineStr">
        <is>
          <t>기타 오락장 운영업</t>
        </is>
      </c>
      <c r="F1460" s="68" t="inlineStr">
        <is>
          <t>◦전화방</t>
        </is>
      </c>
      <c r="G1460" s="90" t="n">
        <v>75.09999999999999</v>
      </c>
      <c r="H1460" s="90" t="n">
        <v>0</v>
      </c>
      <c r="I1460" s="90" t="n">
        <v>17.9</v>
      </c>
    </row>
    <row r="1461">
      <c r="A1461" s="65" t="inlineStr">
        <is>
          <t>924905</t>
        </is>
      </c>
      <c r="B1461" s="68" t="inlineStr">
        <is>
          <t>예술, 스포츠 및 여가관련 서비스업</t>
        </is>
      </c>
      <c r="C1461" s="68" t="inlineStr">
        <is>
          <t>창작, 예술 및 여가관련 서비스업</t>
        </is>
      </c>
      <c r="D1461" s="68" t="inlineStr">
        <is>
          <t>식물원, 동물원 및 자연공원 운영업</t>
        </is>
      </c>
      <c r="E1461" s="68" t="inlineStr">
        <is>
          <t>자연공원 운영업</t>
        </is>
      </c>
      <c r="F1461" s="68" t="inlineStr">
        <is>
          <t>◦자연 지역의 보존 및 전시에 종사하는 산업활동을 말한다.
&lt;예 시&gt;
·자연공원(휴양용)
·휴양림 운영
·자연 보존원
·야생 생물 보존 구역 관리</t>
        </is>
      </c>
      <c r="G1461" s="90" t="n">
        <v>87.40000000000001</v>
      </c>
      <c r="H1461" s="90" t="n">
        <v>0</v>
      </c>
      <c r="I1461" s="90" t="n">
        <v>20.8</v>
      </c>
    </row>
    <row r="1462">
      <c r="A1462" s="65" t="inlineStr">
        <is>
          <t>924906</t>
        </is>
      </c>
      <c r="B1462" s="68" t="inlineStr">
        <is>
          <t>예술, 스포츠 및 여가관련 서비스업</t>
        </is>
      </c>
      <c r="C1462" s="68" t="inlineStr">
        <is>
          <t>스포츠 및 오락관련 서비스업</t>
        </is>
      </c>
      <c r="D1462" s="68" t="inlineStr">
        <is>
          <t>사행시설 관리 및 운영업</t>
        </is>
      </c>
      <c r="E1462" s="68" t="inlineStr">
        <is>
          <t>복권 발행 및 판매업</t>
        </is>
      </c>
      <c r="F1462" s="68" t="inlineStr">
        <is>
          <t>◦각종 복권을 발행하는 산업활동을 말한다.
&lt;예 시&gt;
·스포츠 복권 발행
·기입식 복권 발행
·즉석식 복권 발행
&lt;제 외&gt;
*각종 복권 도매(→512293)
*각종 복권 소매(→522082)</t>
        </is>
      </c>
      <c r="G1462" s="90" t="n">
        <v>35.4</v>
      </c>
      <c r="H1462" s="90" t="n">
        <v>0</v>
      </c>
      <c r="I1462" s="90" t="n">
        <v>10.3</v>
      </c>
    </row>
    <row r="1463">
      <c r="A1463" s="65" t="inlineStr">
        <is>
          <t>924907</t>
        </is>
      </c>
      <c r="B1463" s="68" t="inlineStr">
        <is>
          <t>예술, 스포츠 및 여가관련 서비스업</t>
        </is>
      </c>
      <c r="C1463" s="68" t="inlineStr">
        <is>
          <t>스포츠 및 오락관련 서비스업</t>
        </is>
      </c>
      <c r="D1463" s="68" t="inlineStr">
        <is>
          <t>오락장 운영업</t>
        </is>
      </c>
      <c r="E1463" s="68" t="inlineStr">
        <is>
          <t>전자 게임장 운영업</t>
        </is>
      </c>
      <c r="F1463" s="68" t="inlineStr">
        <is>
          <t>◦컴퓨터가 아닌 각종 전자 게임기를 갖춘 시설을 운영하는 산업활동을 말한다.
&lt;예 시&gt;
·아케이드 게임장
·전자오락실
&lt;제 외&gt;
*실내운전연습실(→924912)
*청소년게임장(→924908)</t>
        </is>
      </c>
      <c r="G1463" s="90" t="n">
        <v>75.90000000000001</v>
      </c>
      <c r="H1463" s="90" t="n">
        <v>0</v>
      </c>
      <c r="I1463" s="90" t="n">
        <v>11.4</v>
      </c>
    </row>
    <row r="1464">
      <c r="A1464" s="65" t="inlineStr">
        <is>
          <t>924908</t>
        </is>
      </c>
      <c r="B1464" s="68" t="inlineStr">
        <is>
          <t>예술, 스포츠 및 여가관련 서비스업</t>
        </is>
      </c>
      <c r="C1464" s="68" t="inlineStr">
        <is>
          <t>스포츠 및 오락관련 서비스업</t>
        </is>
      </c>
      <c r="D1464" s="68" t="inlineStr">
        <is>
          <t>오락장 운영업</t>
        </is>
      </c>
      <c r="E1464" s="68" t="inlineStr">
        <is>
          <t>전자 게임장 운영업</t>
        </is>
      </c>
      <c r="F1464" s="68" t="inlineStr">
        <is>
          <t>◦청소년게임장
◦「게임산업진흥에 관한 법률」에 따라 등급분류된 게임물 중 청소년이용가게임물을 설치하여 운영하는 업</t>
        </is>
      </c>
      <c r="G1464" s="90" t="n">
        <v>86.40000000000001</v>
      </c>
      <c r="H1464" s="90" t="n">
        <v>0</v>
      </c>
      <c r="I1464" s="90" t="n">
        <v>13.8</v>
      </c>
    </row>
    <row r="1465">
      <c r="A1465" s="65" t="inlineStr">
        <is>
          <t>924909</t>
        </is>
      </c>
      <c r="B1465" s="68" t="inlineStr">
        <is>
          <t>예술, 스포츠 및 여가관련 서비스업</t>
        </is>
      </c>
      <c r="C1465" s="68" t="inlineStr">
        <is>
          <t>스포츠 및 오락관련 서비스업</t>
        </is>
      </c>
      <c r="D1465" s="68" t="inlineStr">
        <is>
          <t>오락장 운영업</t>
        </is>
      </c>
      <c r="E1465" s="68" t="inlineStr">
        <is>
          <t>컴퓨터 게임방 운영업</t>
        </is>
      </c>
      <c r="F1465" s="68" t="inlineStr">
        <is>
          <t>◦인터넷 또는 시디롬(CD-ROM) 등에 의한 컴퓨터 게임을 주로 제공하는 시설을 운영하는 산업활동을 말한다.
&lt;예 시&gt;
·인터넷 게임방
·PC 게임방
&lt;제 외&gt;
·직접 정보를 축적하여 온라인상으로 제공(724000)</t>
        </is>
      </c>
      <c r="G1465" s="90" t="n">
        <v>89</v>
      </c>
      <c r="H1465" s="90" t="n">
        <v>0</v>
      </c>
      <c r="I1465" s="90" t="n">
        <v>19.1</v>
      </c>
    </row>
    <row r="1466">
      <c r="A1466" s="65" t="inlineStr">
        <is>
          <t>924910</t>
        </is>
      </c>
      <c r="B1466" s="68" t="inlineStr">
        <is>
          <t>정보통신업</t>
        </is>
      </c>
      <c r="C1466" s="68" t="inlineStr">
        <is>
          <t>영상ㆍ오디오 기록물 제작 및 배급업</t>
        </is>
      </c>
      <c r="D1466" s="68" t="inlineStr">
        <is>
          <t>영화 및 비디오물 상영업</t>
        </is>
      </c>
      <c r="E1466" s="68" t="inlineStr">
        <is>
          <t>비디오물 감상실 운영업</t>
        </is>
      </c>
      <c r="F1466" s="68" t="inlineStr">
        <is>
          <t>◦모니터를 이용한 비디오물 감상실을 운영하는 산업활동을 말한다.
&lt;예 시&gt;
·비디오방
·DVD방</t>
        </is>
      </c>
      <c r="G1466" s="90" t="n">
        <v>81.2</v>
      </c>
      <c r="H1466" s="90" t="n">
        <v>0</v>
      </c>
      <c r="I1466" s="90" t="n">
        <v>15.1</v>
      </c>
    </row>
    <row r="1467">
      <c r="A1467" s="65" t="inlineStr">
        <is>
          <t>924911</t>
        </is>
      </c>
      <c r="B1467" s="68" t="inlineStr">
        <is>
          <t>예술, 스포츠 및 여가관련 서비스업</t>
        </is>
      </c>
      <c r="C1467" s="68" t="inlineStr">
        <is>
          <t>스포츠 및 오락관련 서비스업</t>
        </is>
      </c>
      <c r="D1467" s="68" t="inlineStr">
        <is>
          <t>그 외 기타 오락관련 서비스업</t>
        </is>
      </c>
      <c r="E1467" s="68" t="inlineStr">
        <is>
          <t>그 외 기타 분류 안된 오락관련 서비스업</t>
        </is>
      </c>
      <c r="F1467" s="68" t="inlineStr">
        <is>
          <t>◦독립적으로 운영하는 오락용 궤도 및 삭도시설, 각종 체험시설과 전망탑 등 기타 오락설비를 운영하는 산업활동을 포함한다.
&lt;예 시&gt;
·전망탑 운영
·오락용 궤도, 삭도 운영
&lt;제 외&gt;
·자전거, 경기용품 및 기타 오락용품 임대(713002)
·관광지의 승객 운송 목적용 부정기 케이블카 및 트롤리 버스를 독립적으로 운영하는 경우(602209)
·교육 위주의 비숙박형 청소년 수련시설(551003)
·숙박시설이 있는 청소년 수련시설(551003)</t>
        </is>
      </c>
      <c r="G1467" s="90" t="n">
        <v>88.59999999999999</v>
      </c>
      <c r="H1467" s="90" t="n">
        <v>0</v>
      </c>
      <c r="I1467" s="90" t="n">
        <v>17.4</v>
      </c>
    </row>
    <row r="1468">
      <c r="A1468" s="65" t="inlineStr">
        <is>
          <t>924912</t>
        </is>
      </c>
      <c r="B1468" s="68" t="inlineStr">
        <is>
          <t>예술, 스포츠 및 여가관련 서비스업</t>
        </is>
      </c>
      <c r="C1468" s="68" t="inlineStr">
        <is>
          <t>스포츠 및 오락관련 서비스업</t>
        </is>
      </c>
      <c r="D1468" s="68" t="inlineStr">
        <is>
          <t>오락장 운영업</t>
        </is>
      </c>
      <c r="E1468" s="68" t="inlineStr">
        <is>
          <t>전자 게임장 운영업</t>
        </is>
      </c>
      <c r="F1468" s="68" t="inlineStr">
        <is>
          <t>◦실내운전연습실</t>
        </is>
      </c>
      <c r="G1468" s="90" t="n">
        <v>77.59999999999999</v>
      </c>
      <c r="H1468" s="90" t="n">
        <v>0</v>
      </c>
      <c r="I1468" s="90" t="n">
        <v>13.5</v>
      </c>
    </row>
    <row r="1469">
      <c r="A1469" s="65" t="inlineStr">
        <is>
          <t>924913</t>
        </is>
      </c>
      <c r="B1469" s="68" t="inlineStr">
        <is>
          <t>예술, 스포츠 및 여가관련 서비스업</t>
        </is>
      </c>
      <c r="C1469" s="68" t="inlineStr">
        <is>
          <t>스포츠 및 오락관련 서비스업</t>
        </is>
      </c>
      <c r="D1469" s="68" t="inlineStr">
        <is>
          <t>오락장 운영업</t>
        </is>
      </c>
      <c r="E1469" s="68" t="inlineStr">
        <is>
          <t>기타 오락장 운영업</t>
        </is>
      </c>
      <c r="F1469" s="68" t="inlineStr">
        <is>
          <t>◦보드게임방</t>
        </is>
      </c>
      <c r="G1469" s="90" t="n">
        <v>87.2</v>
      </c>
      <c r="H1469" s="90" t="n">
        <v>0</v>
      </c>
      <c r="I1469" s="90" t="n">
        <v>18.4</v>
      </c>
    </row>
    <row r="1470">
      <c r="A1470" s="65" t="inlineStr">
        <is>
          <t>924914</t>
        </is>
      </c>
      <c r="B1470" s="68" t="inlineStr">
        <is>
          <t>예술, 스포츠 및 여가관련 서비스업</t>
        </is>
      </c>
      <c r="C1470" s="68" t="inlineStr">
        <is>
          <t>스포츠 및 오락관련 서비스업</t>
        </is>
      </c>
      <c r="D1470" s="68" t="inlineStr">
        <is>
          <t>수상오락 서비스업</t>
        </is>
      </c>
      <c r="E1470" s="68" t="inlineStr">
        <is>
          <t>낚시장 운영업</t>
        </is>
      </c>
      <c r="F1470" s="68" t="inlineStr">
        <is>
          <t>◦낚시장을 운영하는 산업활동을 말한다.
&lt;예 시&gt;
·유료 낚시터 운영
·실내 낚시장 운영</t>
        </is>
      </c>
      <c r="G1470" s="90" t="n">
        <v>88.7</v>
      </c>
      <c r="H1470" s="90" t="n">
        <v>0</v>
      </c>
      <c r="I1470" s="90" t="n">
        <v>18.3</v>
      </c>
    </row>
    <row r="1471">
      <c r="A1471" s="65" t="inlineStr">
        <is>
          <t>924915</t>
        </is>
      </c>
      <c r="B1471" s="68" t="inlineStr">
        <is>
          <t>예술, 스포츠 및 여가관련 서비스업</t>
        </is>
      </c>
      <c r="C1471" s="68" t="inlineStr">
        <is>
          <t>스포츠 및 오락관련 서비스업</t>
        </is>
      </c>
      <c r="D1471" s="68" t="inlineStr">
        <is>
          <t>수상오락 서비스업</t>
        </is>
      </c>
      <c r="E1471" s="68" t="inlineStr">
        <is>
          <t>기타 수상오락 서비스업</t>
        </is>
      </c>
      <c r="F1471" s="68" t="inlineStr">
        <is>
          <t>◦기타 수상오락 서비스를 제공하는 산업활동을 말한다.
&lt;예 시&gt;
·레저 보트용 정박시설 운영업
·마리나업
·오락용 낚싯배 임대(낚시터 시설에서 포함하여 운영)
·오락용 보트 임대(물놀이 시설에서 포함하여 운영)
·해수욕장 운영
&lt;제 외&gt;
·유료 낚시터 운영(924914)
·물놀이시설과 별개로 운영하는 레크리에이션용 보트 임대(713002)</t>
        </is>
      </c>
      <c r="G1471" s="90" t="n">
        <v>89.40000000000001</v>
      </c>
      <c r="H1471" s="90" t="n">
        <v>0</v>
      </c>
      <c r="I1471" s="90" t="n">
        <v>32.2</v>
      </c>
    </row>
    <row r="1472">
      <c r="A1472" s="65" t="inlineStr">
        <is>
          <t>924916</t>
        </is>
      </c>
      <c r="B1472" s="68" t="inlineStr">
        <is>
          <t>예술, 스포츠 및 여가관련 서비스업</t>
        </is>
      </c>
      <c r="C1472" s="68" t="inlineStr">
        <is>
          <t>스포츠 및 오락관련 서비스업</t>
        </is>
      </c>
      <c r="D1472" s="68" t="inlineStr">
        <is>
          <t>그 외 기타 오락관련 서비스업</t>
        </is>
      </c>
      <c r="E1472" s="68" t="inlineStr">
        <is>
          <t>체육 공원 및 유사 공원 운영업</t>
        </is>
      </c>
      <c r="F1472" s="68" t="inlineStr">
        <is>
          <t>◦일반 대중이 여가 생활을 하면서 이용할 수 있는 경기용 코트, 운동장 및 산책로 등을 설치하여 조성된 체육 공원 및 유사 공원을 운영하는 산업활동을 말한다.
&lt;예 시&gt;
·체육 공원 운영
·시민 공원
&lt;제 외&gt;
·유원지 운영업(921903)
·자연공원 및 휴양림 운영업(924905)</t>
        </is>
      </c>
      <c r="G1472" s="90" t="n">
        <v>85.8</v>
      </c>
      <c r="H1472" s="90" t="n">
        <v>0</v>
      </c>
      <c r="I1472" s="90" t="n">
        <v>17.5</v>
      </c>
    </row>
    <row r="1473">
      <c r="A1473" s="65" t="inlineStr">
        <is>
          <t>924917</t>
        </is>
      </c>
      <c r="B1473" s="68" t="inlineStr">
        <is>
          <t>예술, 스포츠 및 여가관련 서비스업</t>
        </is>
      </c>
      <c r="C1473" s="68" t="inlineStr">
        <is>
          <t>스포츠 및 오락관련 서비스업</t>
        </is>
      </c>
      <c r="D1473" s="68" t="inlineStr">
        <is>
          <t>사행시설 관리 및 운영업</t>
        </is>
      </c>
      <c r="E1473" s="68" t="inlineStr">
        <is>
          <t>카지노 운영업, 기타 사행시설 관리 및 운영업</t>
        </is>
      </c>
      <c r="F1473" s="68" t="inlineStr">
        <is>
          <t>◦카지노, 슬롯 머신, 카드 게임, 빙고, 룰렛, 주사위 게임 등 각종 도박시설을 운영하는 산업활동과 경마, 경륜, 경정 등 베팅관련 시설을 운영하는 산업활동을 말한다.
&lt;제 외&gt;
·경주장에서 운영하는 마권 등 경주권 발행(924202)</t>
        </is>
      </c>
      <c r="G1473" s="90" t="n">
        <v>35.4</v>
      </c>
      <c r="H1473" s="90" t="n">
        <v>0</v>
      </c>
      <c r="I1473" s="90" t="n">
        <v>13.7</v>
      </c>
    </row>
    <row r="1474">
      <c r="A1474" s="65" t="inlineStr">
        <is>
          <t>930100</t>
        </is>
      </c>
      <c r="B1474" s="68" t="inlineStr">
        <is>
          <t>협회 및 단체, 수리 및 기타 개인서비스업</t>
        </is>
      </c>
      <c r="C1474" s="68" t="inlineStr">
        <is>
          <t>기타 개인 서비스업</t>
        </is>
      </c>
      <c r="D1474" s="68" t="inlineStr">
        <is>
          <t>세탁업</t>
        </is>
      </c>
      <c r="E1474" s="68" t="inlineStr">
        <is>
          <t>가정용 세탁업</t>
        </is>
      </c>
      <c r="F1474" s="68" t="inlineStr">
        <is>
          <t>◦일반 대중을 대상으로 각종 세탁물을 수집 및 세탁하는 산업활동을 말한다. 동전 조작식 또는 셀프 서비스형 세탁시설(아파트 및 기숙사 등에서 설치 가능)을 운영하는 산업활동도 포함한다.
&lt;예 시&gt;
·드라이 클리닝
·동전 조작식 세탁시설
&lt;제 외&gt;
·세탁물 공급업(930102)</t>
        </is>
      </c>
      <c r="G1474" s="90" t="n">
        <v>83.3</v>
      </c>
      <c r="H1474" s="90" t="n">
        <v>0</v>
      </c>
      <c r="I1474" s="90" t="n">
        <v>18.3</v>
      </c>
    </row>
    <row r="1475">
      <c r="A1475" s="65" t="inlineStr">
        <is>
          <t>930101</t>
        </is>
      </c>
      <c r="B1475" s="68" t="inlineStr">
        <is>
          <t>협회 및 단체, 수리 및 기타 개인서비스업</t>
        </is>
      </c>
      <c r="C1475" s="68" t="inlineStr">
        <is>
          <t>기타 개인 서비스업</t>
        </is>
      </c>
      <c r="D1475" s="68" t="inlineStr">
        <is>
          <t>세탁업</t>
        </is>
      </c>
      <c r="E1475" s="68" t="inlineStr">
        <is>
          <t>산업용 세탁업</t>
        </is>
      </c>
      <c r="F1475" s="68" t="inlineStr">
        <is>
          <t>◦산업 또는 상업 사용자를 대상으로 산업 및 상업용 세탁물을 세탁하는 산업활동을 말한다. 가정용 세탁업자들이 수집한 세탁물을 재취합하여 이를 세탁하는 경우도 여기에 포함한다.</t>
        </is>
      </c>
      <c r="G1475" s="90" t="n">
        <v>85.90000000000001</v>
      </c>
      <c r="H1475" s="90" t="n">
        <v>0</v>
      </c>
      <c r="I1475" s="90" t="n">
        <v>18</v>
      </c>
    </row>
    <row r="1476">
      <c r="A1476" s="65" t="inlineStr">
        <is>
          <t>930102</t>
        </is>
      </c>
      <c r="B1476" s="68" t="inlineStr">
        <is>
          <t>협회 및 단체, 수리 및 기타 개인서비스업</t>
        </is>
      </c>
      <c r="C1476" s="68" t="inlineStr">
        <is>
          <t>기타 개인 서비스업</t>
        </is>
      </c>
      <c r="D1476" s="68" t="inlineStr">
        <is>
          <t>세탁업</t>
        </is>
      </c>
      <c r="E1476" s="68" t="inlineStr">
        <is>
          <t>세탁물 공급업</t>
        </is>
      </c>
      <c r="F1476" s="68" t="inlineStr">
        <is>
          <t>◦개인, 상업 및 산업 사용자와의 임대 계약에 의하여 타월, 냅킨, 식탁보, 가운, 기저귀 및 기타 린넨제품, 작업복, 보호복, 안전 장갑, 청정실용 의복 등을 반복적으로 세탁◦공급하는 산업활동을 말한다.
&lt;예 시&gt;
·린넨 공급업
·의료기관 세탁물 공급업
·물수건 대여업
·기저귀 대여업
·걸레 대여업
·유니폼 세탁 공급업</t>
        </is>
      </c>
      <c r="G1476" s="90" t="n">
        <v>84.8</v>
      </c>
      <c r="H1476" s="90" t="n">
        <v>0</v>
      </c>
      <c r="I1476" s="90" t="n">
        <v>20.2</v>
      </c>
    </row>
    <row r="1477">
      <c r="A1477" s="65" t="inlineStr">
        <is>
          <t>930201</t>
        </is>
      </c>
      <c r="B1477" s="68" t="inlineStr">
        <is>
          <t>협회 및 단체, 수리 및 기타 개인서비스업</t>
        </is>
      </c>
      <c r="C1477" s="68" t="inlineStr">
        <is>
          <t>기타 개인 서비스업</t>
        </is>
      </c>
      <c r="D1477" s="68" t="inlineStr">
        <is>
          <t>이용 및 미용업</t>
        </is>
      </c>
      <c r="E1477" s="68" t="inlineStr">
        <is>
          <t>이용업</t>
        </is>
      </c>
      <c r="F1477" s="68" t="inlineStr">
        <is>
          <t>◦주로 남성 고객의 머리카락 및 수염을 깎거나 다듬고 염색하는 등의 방법으로 고객의 용모를 단정하게 하는 산업활동을 말한다.
&lt;예 시&gt;
·이발소
·이용원</t>
        </is>
      </c>
      <c r="G1477" s="90" t="n">
        <v>82.7</v>
      </c>
      <c r="H1477" s="90" t="n">
        <v>0</v>
      </c>
      <c r="I1477" s="90" t="n">
        <v>21.8</v>
      </c>
    </row>
    <row r="1478">
      <c r="A1478" s="65" t="inlineStr">
        <is>
          <t>930203</t>
        </is>
      </c>
      <c r="B1478" s="68" t="inlineStr">
        <is>
          <t>협회 및 단체, 수리 및 기타 개인서비스업</t>
        </is>
      </c>
      <c r="C1478" s="68" t="inlineStr">
        <is>
          <t>기타 개인 서비스업</t>
        </is>
      </c>
      <c r="D1478" s="68" t="inlineStr">
        <is>
          <t>이용 및 미용업</t>
        </is>
      </c>
      <c r="E1478" s="68" t="inlineStr">
        <is>
          <t>두발 미용업</t>
        </is>
      </c>
      <c r="F1478" s="68" t="inlineStr">
        <is>
          <t>◦파마, 염색, 머리카락 자르기, 머리카락 모양내기, 머리 피부 손질 등으로 고객의 머리를 아름답게 꾸미는 산업활동을 말한다.
&lt;예 시&gt;
·미장원</t>
        </is>
      </c>
      <c r="G1478" s="90" t="n">
        <v>82.40000000000001</v>
      </c>
      <c r="H1478" s="90" t="n">
        <v>0</v>
      </c>
      <c r="I1478" s="90" t="n">
        <v>21.4</v>
      </c>
    </row>
    <row r="1479">
      <c r="A1479" s="65" t="inlineStr">
        <is>
          <t>930205</t>
        </is>
      </c>
      <c r="B1479" s="68" t="inlineStr">
        <is>
          <t>협회 및 단체, 수리 및 기타 개인서비스업</t>
        </is>
      </c>
      <c r="C1479" s="68" t="inlineStr">
        <is>
          <t>기타 개인 서비스업</t>
        </is>
      </c>
      <c r="D1479" s="68" t="inlineStr">
        <is>
          <t>이용 및 미용업</t>
        </is>
      </c>
      <c r="E1479" s="68" t="inlineStr">
        <is>
          <t>피부 미용업</t>
        </is>
      </c>
      <c r="F1479" s="68" t="inlineStr">
        <is>
          <t>◦손이나 기구를 이용한 피부 관리, 습포(팩, pack), 제모, 눈썹 손질 등으로 고객의 피부를 아름답게 꾸미는 산업활동을 말한다.
&lt;예 시&gt;
·피부관리실</t>
        </is>
      </c>
      <c r="G1479" s="90" t="n">
        <v>85.8</v>
      </c>
      <c r="H1479" s="90" t="n">
        <v>0</v>
      </c>
      <c r="I1479" s="90" t="n">
        <v>17</v>
      </c>
    </row>
    <row r="1480">
      <c r="A1480" s="65" t="inlineStr">
        <is>
          <t>930207</t>
        </is>
      </c>
      <c r="B1480" s="68" t="inlineStr">
        <is>
          <t>협회 및 단체, 수리 및 기타 개인서비스업</t>
        </is>
      </c>
      <c r="C1480" s="68" t="inlineStr">
        <is>
          <t>기타 개인 서비스업</t>
        </is>
      </c>
      <c r="D1480" s="68" t="inlineStr">
        <is>
          <t>이용 및 미용업</t>
        </is>
      </c>
      <c r="E1480" s="68" t="inlineStr">
        <is>
          <t>기타 미용업</t>
        </is>
      </c>
      <c r="F1480" s="68" t="inlineStr">
        <is>
          <t>◦손톱과 발톱의 손질 등 고객의 외모를 아름답게 꾸미는 산업활동을 말한다.
&lt;예 시&gt;
·손·발톱 관리, 네일아트</t>
        </is>
      </c>
      <c r="G1480" s="90" t="n">
        <v>86.90000000000001</v>
      </c>
      <c r="H1480" s="90" t="n">
        <v>0</v>
      </c>
      <c r="I1480" s="90" t="n">
        <v>20.6</v>
      </c>
    </row>
    <row r="1481">
      <c r="A1481" s="65" t="inlineStr">
        <is>
          <t>930208</t>
        </is>
      </c>
      <c r="B1481" s="68" t="inlineStr">
        <is>
          <t>협회 및 단체, 수리 및 기타 개인서비스업</t>
        </is>
      </c>
      <c r="C1481" s="68" t="inlineStr">
        <is>
          <t>기타 개인 서비스업</t>
        </is>
      </c>
      <c r="D1481" s="68" t="inlineStr">
        <is>
          <t>욕탕, 마사지 및 기타 신체 관리 서비스업</t>
        </is>
      </c>
      <c r="E1481" s="68" t="inlineStr">
        <is>
          <t>마사지업</t>
        </is>
      </c>
      <c r="F1481" s="68" t="inlineStr">
        <is>
          <t>◦일반 대중에게 안마, 마사지 등으로 신체에 물리적 자극을 가하는 시설을 운영하는 산업활동을 말한다.
&lt;예 시&gt;
·마사지업
·발 마사지업
·스포츠 마사지업
&lt;제 외&gt;
·지압치료(851904)
·피부관리실 등 피부미용 관련 마사지(930205)</t>
        </is>
      </c>
      <c r="G1481" s="90" t="n">
        <v>84.5</v>
      </c>
      <c r="H1481" s="90" t="n">
        <v>0</v>
      </c>
      <c r="I1481" s="90" t="n">
        <v>17.8</v>
      </c>
    </row>
    <row r="1482">
      <c r="A1482" s="65" t="inlineStr">
        <is>
          <t>930209</t>
        </is>
      </c>
      <c r="B1482" s="68" t="inlineStr">
        <is>
          <t>협회 및 단체, 수리 및 기타 개인서비스업</t>
        </is>
      </c>
      <c r="C1482" s="68" t="inlineStr">
        <is>
          <t>기타 개인 서비스업</t>
        </is>
      </c>
      <c r="D1482" s="68" t="inlineStr">
        <is>
          <t>욕탕, 마사지 및 기타 신체 관리 서비스업</t>
        </is>
      </c>
      <c r="E1482" s="68" t="inlineStr">
        <is>
          <t>체형 등 기타 신체 관리 서비스업</t>
        </is>
      </c>
      <c r="F1482" s="68" t="inlineStr">
        <is>
          <t>◦고객이 원하는 체형을 만들거나 유지하기 위하여 비의료적인 서비스를 제공하는 산업활동을 말한다.
&lt;예 시&gt;
·다이어트 센터
·체중 감량 센터
·비만 관리 센터</t>
        </is>
      </c>
      <c r="G1482" s="90" t="n">
        <v>85.8</v>
      </c>
      <c r="H1482" s="90" t="n">
        <v>0</v>
      </c>
      <c r="I1482" s="90" t="n">
        <v>17.4</v>
      </c>
    </row>
    <row r="1483">
      <c r="A1483" s="65" t="inlineStr">
        <is>
          <t>930301</t>
        </is>
      </c>
      <c r="B1483" s="68" t="inlineStr">
        <is>
          <t>협회 및 단체, 수리 및 기타 개인서비스업</t>
        </is>
      </c>
      <c r="C1483" s="68" t="inlineStr">
        <is>
          <t>기타 개인 서비스업</t>
        </is>
      </c>
      <c r="D1483" s="68" t="inlineStr">
        <is>
          <t>장례식장 및 관련 서비스업</t>
        </is>
      </c>
      <c r="E1483" s="68" t="inlineStr">
        <is>
          <t>장례식장 및 장의관련 서비스업</t>
        </is>
      </c>
      <c r="F1483" s="68" t="inlineStr">
        <is>
          <t>◦장례식을 준비하거나, 장례식장을 운영하는 산업활동을 말한다.
&lt;예 시&gt;
·장의사업
·장례식장
&lt;제 외&gt;
·종교시설의 장례 의식 서비스(종교단체 해당 산업활동으로 분류)</t>
        </is>
      </c>
      <c r="G1483" s="90" t="n">
        <v>75.2</v>
      </c>
      <c r="H1483" s="90" t="n">
        <v>0</v>
      </c>
      <c r="I1483" s="90" t="n">
        <v>12.6</v>
      </c>
    </row>
    <row r="1484">
      <c r="A1484" s="65" t="inlineStr">
        <is>
          <t>930302</t>
        </is>
      </c>
      <c r="B1484" s="68" t="inlineStr">
        <is>
          <t>협회 및 단체, 수리 및 기타 개인서비스업</t>
        </is>
      </c>
      <c r="C1484" s="68" t="inlineStr">
        <is>
          <t>기타 개인 서비스업</t>
        </is>
      </c>
      <c r="D1484" s="68" t="inlineStr">
        <is>
          <t>장례식장 및 관련 서비스업</t>
        </is>
      </c>
      <c r="E1484" s="68" t="inlineStr">
        <is>
          <t>화장터 운영, 묘지 분양 및 관리업</t>
        </is>
      </c>
      <c r="F1484" s="68" t="inlineStr">
        <is>
          <t>◦묘지를 관리하거나 화장터를 운영하는 산업활동을 말한다.
&lt;예 시&gt;
·화장터 운영
·묘지 관리
·납골당 운영
&lt;제 외&gt;
*묘지를 개발하여 분묘기지권을 설정하고 분묘설치자로부터 받은 지료 등의 수입(→701700)</t>
        </is>
      </c>
      <c r="G1484" s="90" t="n">
        <v>77.40000000000001</v>
      </c>
      <c r="H1484" s="90" t="n">
        <v>0</v>
      </c>
      <c r="I1484" s="90" t="n">
        <v>27.9</v>
      </c>
    </row>
    <row r="1485">
      <c r="A1485" s="65" t="inlineStr">
        <is>
          <t>930901</t>
        </is>
      </c>
      <c r="B1485" s="68" t="inlineStr">
        <is>
          <t>협회 및 단체, 수리 및 기타 개인서비스업</t>
        </is>
      </c>
      <c r="C1485" s="68" t="inlineStr">
        <is>
          <t>기타 개인 서비스업</t>
        </is>
      </c>
      <c r="D1485" s="68" t="inlineStr">
        <is>
          <t>그 외 기타 분류 안된 개인 서비스업</t>
        </is>
      </c>
      <c r="E1485" s="68" t="inlineStr">
        <is>
          <t>예식장업</t>
        </is>
      </c>
      <c r="F1485" s="68" t="inlineStr">
        <is>
          <t>◦일반 대중에게 결혼식을 위한 시설을 제공하는 산업활동을 말한다.
&lt;예 시&gt;
·실내 예식장
·야외 예식장</t>
        </is>
      </c>
      <c r="G1485" s="90" t="n">
        <v>79.2</v>
      </c>
      <c r="H1485" s="90" t="n">
        <v>0</v>
      </c>
      <c r="I1485" s="90" t="n">
        <v>15</v>
      </c>
    </row>
    <row r="1486">
      <c r="A1486" s="65" t="inlineStr">
        <is>
          <t>930902</t>
        </is>
      </c>
      <c r="B1486" s="68" t="inlineStr">
        <is>
          <t>협회 및 단체, 수리 및 기타 개인서비스업</t>
        </is>
      </c>
      <c r="C1486" s="68" t="inlineStr">
        <is>
          <t>기타 개인 서비스업</t>
        </is>
      </c>
      <c r="D1486" s="68" t="inlineStr">
        <is>
          <t>욕탕, 마사지 및 기타 신체 관리 서비스업</t>
        </is>
      </c>
      <c r="E1486" s="68" t="inlineStr">
        <is>
          <t>욕탕업</t>
        </is>
      </c>
      <c r="F1486" s="68" t="inlineStr">
        <is>
          <t>◦실내◦외를 불문하고, 대중탕, 가족탕, 한증막, 사우나탕, 증기탕 및 온탕 등을 운영하는 산업활동을 말한다.
&lt;예 시&gt;
·대중 목욕탕
·온천탕
·찜질방
·황토방</t>
        </is>
      </c>
      <c r="G1486" s="90" t="n">
        <v>87.5</v>
      </c>
      <c r="H1486" s="90" t="n">
        <v>0</v>
      </c>
      <c r="I1486" s="90" t="n">
        <v>16.7</v>
      </c>
    </row>
    <row r="1487">
      <c r="A1487" s="65" t="inlineStr">
        <is>
          <t>930903</t>
        </is>
      </c>
      <c r="B1487" s="68" t="inlineStr">
        <is>
          <t>사업시설 관리, 사업지원 및 임대 서비스업</t>
        </is>
      </c>
      <c r="C1487" s="68" t="inlineStr">
        <is>
          <t>임대업: 부동산 제외</t>
        </is>
      </c>
      <c r="D1487" s="68" t="inlineStr">
        <is>
          <t>기타 개인 및 가정용품 임대업</t>
        </is>
      </c>
      <c r="E1487" s="68" t="inlineStr">
        <is>
          <t>의류 임대업</t>
        </is>
      </c>
      <c r="F1487" s="68" t="inlineStr">
        <is>
          <t>◦신부(신랑)드레스대여 전문점
&lt;예 시&gt;
·아동용드레스</t>
        </is>
      </c>
      <c r="G1487" s="90" t="n">
        <v>85.09999999999999</v>
      </c>
      <c r="H1487" s="90" t="n">
        <v>0</v>
      </c>
      <c r="I1487" s="90" t="n">
        <v>20.2</v>
      </c>
    </row>
    <row r="1488">
      <c r="A1488" s="65" t="inlineStr">
        <is>
          <t>930904</t>
        </is>
      </c>
      <c r="B1488" s="68" t="inlineStr">
        <is>
          <t>전문, 과학 및 기술서비스업</t>
        </is>
      </c>
      <c r="C1488" s="68" t="inlineStr">
        <is>
          <t>기타 전문, 과학 및 기술 서비스업</t>
        </is>
      </c>
      <c r="D1488" s="68" t="inlineStr">
        <is>
          <t>사진 촬영 및 처리업</t>
        </is>
      </c>
      <c r="E1488" s="68" t="inlineStr">
        <is>
          <t>인물 사진 및 행사용 영상 촬영업</t>
        </is>
      </c>
      <c r="F1488" s="68" t="inlineStr">
        <is>
          <t>◦예식사진촬영업
&lt;예 시&gt;
·신혼부부야외촬영, 테마사진
·가두사진업, 결혼비디오촬영, 웨딩사진촬영</t>
        </is>
      </c>
      <c r="G1488" s="90" t="n">
        <v>82.5</v>
      </c>
      <c r="H1488" s="90" t="n">
        <v>0</v>
      </c>
      <c r="I1488" s="90" t="n">
        <v>22.2</v>
      </c>
    </row>
    <row r="1489">
      <c r="A1489" s="65" t="inlineStr">
        <is>
          <t>930908</t>
        </is>
      </c>
      <c r="B1489" s="68" t="inlineStr">
        <is>
          <t>협회 및 단체, 수리 및 기타 개인서비스업</t>
        </is>
      </c>
      <c r="C1489" s="68" t="inlineStr">
        <is>
          <t>기타 개인 서비스업</t>
        </is>
      </c>
      <c r="D1489" s="68" t="inlineStr">
        <is>
          <t>그 외 기타 분류 안된 개인 서비스업</t>
        </is>
      </c>
      <c r="E1489" s="68" t="inlineStr">
        <is>
          <t>그 외 기타 달리 분류되지 않은 개인 서비스업</t>
        </is>
      </c>
      <c r="F1489" s="68" t="inlineStr">
        <is>
          <t>◦간단한 수화물의 일시적 보관</t>
        </is>
      </c>
      <c r="G1489" s="90" t="n">
        <v>83.7</v>
      </c>
      <c r="H1489" s="90" t="n">
        <v>0</v>
      </c>
      <c r="I1489" s="90" t="n">
        <v>30.8</v>
      </c>
    </row>
    <row r="1490">
      <c r="A1490" s="65" t="inlineStr">
        <is>
          <t>930909</t>
        </is>
      </c>
      <c r="B1490" s="68" t="inlineStr">
        <is>
          <t>협회 및 단체, 수리 및 기타 개인서비스업</t>
        </is>
      </c>
      <c r="C1490" s="68" t="inlineStr">
        <is>
          <t>기타 개인 서비스업</t>
        </is>
      </c>
      <c r="D1490" s="68" t="inlineStr">
        <is>
          <t>그 외 기타 분류 안된 개인 서비스업</t>
        </is>
      </c>
      <c r="E1490" s="68" t="inlineStr">
        <is>
          <t>점술 및 유사 서비스업</t>
        </is>
      </c>
      <c r="F1490" s="68" t="inlineStr">
        <is>
          <t>◦각종 예언술, 관상 및 골상학, 점성술 등에 의한 점술 및 유사 서비스를 제공하는 산업활동을 말한다.
&lt;예 시&gt;
·점집
·무당
·심령술업
·풍수 서비스업
·토정비결 서비스업</t>
        </is>
      </c>
      <c r="G1490" s="90" t="n">
        <v>61.5</v>
      </c>
      <c r="H1490" s="90" t="n">
        <v>0</v>
      </c>
      <c r="I1490" s="90" t="n">
        <v>20.1</v>
      </c>
    </row>
    <row r="1491">
      <c r="A1491" s="65" t="inlineStr">
        <is>
          <t>930911</t>
        </is>
      </c>
      <c r="B1491" s="68" t="inlineStr">
        <is>
          <t>협회 및 단체, 수리 및 기타 개인서비스업</t>
        </is>
      </c>
      <c r="C1491" s="68" t="inlineStr">
        <is>
          <t>기타 개인 서비스업</t>
        </is>
      </c>
      <c r="D1491" s="68" t="inlineStr">
        <is>
          <t>그 외 기타 분류 안된 개인 서비스업</t>
        </is>
      </c>
      <c r="E1491" s="68" t="inlineStr">
        <is>
          <t>그 외 기타 달리 분류되지 않은 개인 서비스업</t>
        </is>
      </c>
      <c r="F1491" s="68" t="inlineStr">
        <is>
          <t>◦목공</t>
        </is>
      </c>
      <c r="G1491" s="90" t="n">
        <v>88.3</v>
      </c>
      <c r="H1491" s="90" t="n">
        <v>0</v>
      </c>
      <c r="I1491" s="90" t="n">
        <v>21.5</v>
      </c>
    </row>
    <row r="1492">
      <c r="A1492" s="65" t="inlineStr">
        <is>
          <t>930912</t>
        </is>
      </c>
      <c r="B1492" s="68" t="inlineStr">
        <is>
          <t>협회 및 단체, 수리 및 기타 개인서비스업</t>
        </is>
      </c>
      <c r="C1492" s="68" t="inlineStr">
        <is>
          <t>기타 개인 서비스업</t>
        </is>
      </c>
      <c r="D1492" s="68" t="inlineStr">
        <is>
          <t>그 외 기타 분류 안된 개인 서비스업</t>
        </is>
      </c>
      <c r="E1492" s="68" t="inlineStr">
        <is>
          <t>결혼 상담 및 준비 서비스업</t>
        </is>
      </c>
      <c r="F1492" s="68" t="inlineStr">
        <is>
          <t>◦미혼자를 대상으로 맞선 주선, 결혼 알선 및 상담을 하거나 결혼 예정자를 대상으로 예식 준비와 관련한 기획, 구매◦예약 대행, 정보 제공 및 자문 등을 종합적으로 수행하는 산업활동을 말한다.
&lt;예 시&gt;
·결혼 상담 및 맞선 주선업
·결혼 관련 컨설팅업
·결혼 준비, 기획, 대행업</t>
        </is>
      </c>
      <c r="G1492" s="90" t="n">
        <v>84.2</v>
      </c>
      <c r="H1492" s="90" t="n">
        <v>0</v>
      </c>
      <c r="I1492" s="90" t="n">
        <v>27.7</v>
      </c>
    </row>
    <row r="1493">
      <c r="A1493" s="65" t="inlineStr">
        <is>
          <t>930913</t>
        </is>
      </c>
      <c r="B1493" s="68" t="inlineStr">
        <is>
          <t>협회 및 단체, 수리 및 기타 개인서비스업</t>
        </is>
      </c>
      <c r="C1493" s="68" t="inlineStr">
        <is>
          <t>기타 개인 서비스업</t>
        </is>
      </c>
      <c r="D1493" s="68" t="inlineStr">
        <is>
          <t>그 외 기타 분류 안된 개인 서비스업</t>
        </is>
      </c>
      <c r="E1493" s="68" t="inlineStr">
        <is>
          <t>개인 간병 및 유사 서비스업</t>
        </is>
      </c>
      <c r="F1493" s="68" t="inlineStr">
        <is>
          <t>◦거동이 불편한 사람에게 비의료적 보조 서비스를 제공하는 산후 조리원, 간병인 등의 산업활동을 말한다.
&lt;예 시&gt;
·산후 조리원
·개인 간병 서비스
&lt;제 외&gt;
·개인 여행 안내(630601)
·조산원(851901)</t>
        </is>
      </c>
      <c r="G1493" s="90" t="n">
        <v>83.90000000000001</v>
      </c>
      <c r="H1493" s="90" t="n">
        <v>0</v>
      </c>
      <c r="I1493" s="90" t="n">
        <v>16.6</v>
      </c>
    </row>
    <row r="1494">
      <c r="A1494" s="65" t="inlineStr">
        <is>
          <t>930914</t>
        </is>
      </c>
      <c r="B1494" s="68" t="inlineStr">
        <is>
          <t>보건업 및 사회복지 서비스업</t>
        </is>
      </c>
      <c r="C1494" s="68" t="inlineStr">
        <is>
          <t>사회복지 서비스업</t>
        </is>
      </c>
      <c r="D1494" s="68" t="inlineStr">
        <is>
          <t>노인 거주 복지시설 운영업</t>
        </is>
      </c>
      <c r="E1494" s="68" t="inlineStr">
        <is>
          <t>노인 양로 복지시설 운영업</t>
        </is>
      </c>
      <c r="F1494" s="68" t="inlineStr">
        <is>
          <t>◦일상 생활에 지장이 없는 노인을 입소시켜 숙식 및 일상 생활의 편의를 제공하는 산업활동을 말한다.
&lt;예 시&gt;
·무료 양로시설
·실비 양로시설
·유료 양로시설
&lt;제 외&gt;
·노인 전용 주택 임대(701102~701104)</t>
        </is>
      </c>
      <c r="G1494" s="90" t="n">
        <v>54</v>
      </c>
      <c r="H1494" s="90" t="n">
        <v>0</v>
      </c>
      <c r="I1494" s="90" t="n">
        <v>14.6</v>
      </c>
    </row>
    <row r="1495">
      <c r="A1495" s="65" t="inlineStr">
        <is>
          <t>930915</t>
        </is>
      </c>
      <c r="B1495" s="68" t="inlineStr">
        <is>
          <t>교육서비스업</t>
        </is>
      </c>
      <c r="C1495" s="68" t="inlineStr">
        <is>
          <t>교육 서비스업</t>
        </is>
      </c>
      <c r="D1495" s="68" t="inlineStr">
        <is>
          <t>교육 지원 서비스업</t>
        </is>
      </c>
      <c r="E1495" s="68" t="inlineStr">
        <is>
          <t>기타 교육지원 서비스업</t>
        </is>
      </c>
      <c r="F1495" s="68" t="inlineStr">
        <is>
          <t>◦기타 교육 과정이나 시스템을 지원하는 교육 지원 서비스를 제공하는 산업활동을 말한다.
&lt;예 시&gt;
·교환 학생 프로그램 운영
·유학 알선 서비스</t>
        </is>
      </c>
      <c r="G1495" s="90" t="n">
        <v>85</v>
      </c>
      <c r="H1495" s="90" t="n">
        <v>0</v>
      </c>
      <c r="I1495" s="90" t="n">
        <v>25.1</v>
      </c>
    </row>
    <row r="1496">
      <c r="A1496" s="65" t="inlineStr">
        <is>
          <t>930916</t>
        </is>
      </c>
      <c r="B1496" s="68" t="inlineStr">
        <is>
          <t>사업시설 관리, 사업지원 및 임대 서비스업</t>
        </is>
      </c>
      <c r="C1496" s="68" t="inlineStr">
        <is>
          <t>사업 지원 서비스업</t>
        </is>
      </c>
      <c r="D1496" s="68" t="inlineStr">
        <is>
          <t>탐정 및 조사 서비스업</t>
        </is>
      </c>
      <c r="E1496" s="68" t="inlineStr">
        <is>
          <t>탐정 및 조사 서비스업</t>
        </is>
      </c>
      <c r="F1496" s="68" t="inlineStr">
        <is>
          <t>◦개인 및 사업체에 관련된 각종 정보를 조사하는 산업활동을 말한다.
&lt;예 시&gt;
·흥신소
·사설탐정 서비스
·필체 감정
·지문 조사 서비스
·거짓말 탐지기 서비스
&lt;제 외&gt;
·신용 조사 및 채무자 추적 서비스(749913)
·보험에 관련된 조사활동(749904, 672001)</t>
        </is>
      </c>
      <c r="G1496" s="90" t="n">
        <v>82</v>
      </c>
      <c r="H1496" s="90" t="n">
        <v>0</v>
      </c>
      <c r="I1496" s="90" t="n">
        <v>37.7</v>
      </c>
    </row>
    <row r="1497">
      <c r="A1497" s="65" t="inlineStr">
        <is>
          <t>930917</t>
        </is>
      </c>
      <c r="B1497" s="68" t="inlineStr">
        <is>
          <t>사업시설 관리, 사업지원 및 임대 서비스업</t>
        </is>
      </c>
      <c r="C1497" s="68" t="inlineStr">
        <is>
          <t>사업 지원 서비스업</t>
        </is>
      </c>
      <c r="D1497" s="68" t="inlineStr">
        <is>
          <t>그외 기타 사업지원 서비스업</t>
        </is>
      </c>
      <c r="E1497" s="68" t="inlineStr">
        <is>
          <t>콜센터 및 텔레마케팅 서비스업</t>
        </is>
      </c>
      <c r="F1497" s="68" t="inlineStr">
        <is>
          <t>◦대리운전연결업체
&lt;제 외&gt;
·대리운전기사(940913)</t>
        </is>
      </c>
      <c r="G1497" s="90" t="n">
        <v>85.3</v>
      </c>
      <c r="H1497" s="90" t="n">
        <v>0</v>
      </c>
      <c r="I1497" s="90" t="n">
        <v>27.9</v>
      </c>
    </row>
    <row r="1498">
      <c r="A1498" s="65" t="inlineStr">
        <is>
          <t>930919</t>
        </is>
      </c>
      <c r="B1498" s="68" t="inlineStr">
        <is>
          <t>협회 및 단체, 수리 및 기타 개인서비스업</t>
        </is>
      </c>
      <c r="C1498" s="68" t="inlineStr">
        <is>
          <t>기타 개인 서비스업</t>
        </is>
      </c>
      <c r="D1498" s="68" t="inlineStr">
        <is>
          <t>그 외 기타 분류 안된 개인 서비스업</t>
        </is>
      </c>
      <c r="E1498" s="68" t="inlineStr">
        <is>
          <t>반려동물장묘 및 보호 서비스업</t>
        </is>
      </c>
      <c r="F1498" s="68" t="inlineStr">
        <is>
          <t>◦반려·애완 동물의 훈련, 손질, 보호, 장례 등 반려·애완 동물 관련 서비스를 제공하는 산업활동을 말한다.
&lt;예 시&gt;
·반려·애완동물 훈련소                  
·반려·애완동물 미용 서비스               
·반려·애완동물 호텔                   
·유기견 보호센터             
·반려·애완동물 장례식장
&lt;제 외&gt;
·동물병원(852000)
·동물을 번식, 증식, 사육하는 활동(012103,012201,012204)</t>
        </is>
      </c>
      <c r="G1498" s="90" t="n">
        <v>81.7</v>
      </c>
      <c r="H1498" s="90" t="n">
        <v>0</v>
      </c>
      <c r="I1498" s="90" t="n">
        <v>20.9</v>
      </c>
    </row>
    <row r="1499">
      <c r="A1499" s="65" t="inlineStr">
        <is>
          <t>930921</t>
        </is>
      </c>
      <c r="B1499" s="68" t="inlineStr">
        <is>
          <t>교육서비스업</t>
        </is>
      </c>
      <c r="C1499" s="68" t="inlineStr">
        <is>
          <t>교육 서비스업</t>
        </is>
      </c>
      <c r="D1499" s="68" t="inlineStr">
        <is>
          <t>교육 지원 서비스업</t>
        </is>
      </c>
      <c r="E1499" s="68" t="inlineStr">
        <is>
          <t>교육관련 자문 및 평가업</t>
        </is>
      </c>
      <c r="F1499" s="68" t="inlineStr">
        <is>
          <t>◦교육에 관련된 상담 및 평가 업무를 수행하는 산업활동을 말한다.
&lt;예 시&gt;
·교과과정 상담
·시험 출제 및 평가</t>
        </is>
      </c>
      <c r="G1499" s="90" t="n">
        <v>81.90000000000001</v>
      </c>
      <c r="H1499" s="90" t="n">
        <v>0</v>
      </c>
      <c r="I1499" s="90" t="n">
        <v>21.8</v>
      </c>
    </row>
    <row r="1500">
      <c r="A1500" s="65" t="inlineStr">
        <is>
          <t>930925</t>
        </is>
      </c>
      <c r="B1500" s="68" t="inlineStr">
        <is>
          <t>협회 및 단체, 수리 및 기타 개인서비스업</t>
        </is>
      </c>
      <c r="C1500" s="68" t="inlineStr">
        <is>
          <t>기타 개인 서비스업</t>
        </is>
      </c>
      <c r="D1500" s="68" t="inlineStr">
        <is>
          <t>그 외 기타 분류 안된 개인 서비스업</t>
        </is>
      </c>
      <c r="E1500" s="68" t="inlineStr">
        <is>
          <t>그 외 기타 달리 분류되지 않은 개인 서비스업</t>
        </is>
      </c>
      <c r="F1500" s="68" t="inlineStr">
        <is>
          <t>◦달리 분류되지 않은 개인 서비스를 하는 산업활동을 말한다.
&lt;예 시&gt;
·구두 닦기
·대리 시장 보기
·문신 서비스
·대리 운전
·동전 작동식 개인 서비스 기계 운영(체중계, 혈압계 등)
&lt;제 외&gt;
*동전작동식 사진촬영기 운영(→749401)
*간단한 수화물의 일시적 보관(→930908)
*목공(→930911)
*가구내 기타 개인 서비스(→950000)</t>
        </is>
      </c>
      <c r="G1500" s="90" t="n">
        <v>86.8</v>
      </c>
      <c r="H1500" s="90" t="n">
        <v>0</v>
      </c>
      <c r="I1500" s="90" t="n">
        <v>21.2</v>
      </c>
    </row>
    <row r="1501">
      <c r="A1501" s="65" t="inlineStr">
        <is>
          <t>940100</t>
        </is>
      </c>
      <c r="B1501" s="68" t="inlineStr">
        <is>
          <t>협회 및 단체, 수리 및 기타 개인서비스업</t>
        </is>
      </c>
      <c r="C1501" s="68" t="inlineStr">
        <is>
          <t>인적용역</t>
        </is>
      </c>
      <c r="D1501" s="68" t="inlineStr">
        <is>
          <t>저술가</t>
        </is>
      </c>
      <c r="E1501" s="68" t="inlineStr">
        <is>
          <t>작가</t>
        </is>
      </c>
      <c r="F1501" s="68" t="inlineStr">
        <is>
          <t>◦학술ㆍ문예에 관한 번역수입금액포함</t>
        </is>
      </c>
      <c r="G1501" s="90" t="n">
        <v>58.7</v>
      </c>
      <c r="H1501" s="90" t="n">
        <v>42.2</v>
      </c>
      <c r="I1501" s="90" t="n">
        <v>9</v>
      </c>
    </row>
    <row r="1502">
      <c r="A1502" s="65" t="inlineStr">
        <is>
          <t>940200</t>
        </is>
      </c>
      <c r="B1502" s="68" t="inlineStr">
        <is>
          <t>협회 및 단체, 수리 및 기타 개인서비스업</t>
        </is>
      </c>
      <c r="C1502" s="68" t="inlineStr">
        <is>
          <t>인적용역</t>
        </is>
      </c>
      <c r="D1502" s="68" t="inlineStr">
        <is>
          <t>화가및관련예술가</t>
        </is>
      </c>
      <c r="E1502" s="68" t="inlineStr">
        <is>
          <t>화가 및 관련예술가</t>
        </is>
      </c>
      <c r="F1502" s="68" t="inlineStr">
        <is>
          <t>◦회화, 서예가, 조각가, 만화가, 삽화가, 도예가</t>
        </is>
      </c>
      <c r="G1502" s="90" t="n">
        <v>68</v>
      </c>
      <c r="H1502" s="90" t="n">
        <v>55.2</v>
      </c>
      <c r="I1502" s="90" t="n">
        <v>14.4</v>
      </c>
    </row>
    <row r="1503">
      <c r="A1503" s="65" t="inlineStr">
        <is>
          <t>940301</t>
        </is>
      </c>
      <c r="B1503" s="68" t="inlineStr">
        <is>
          <t>협회 및 단체, 수리 및 기타 개인서비스업</t>
        </is>
      </c>
      <c r="C1503" s="68" t="inlineStr">
        <is>
          <t>인적용역</t>
        </is>
      </c>
      <c r="D1503" s="68" t="inlineStr">
        <is>
          <t>음악가및연예인</t>
        </is>
      </c>
      <c r="E1503" s="68" t="inlineStr">
        <is>
          <t>작곡가</t>
        </is>
      </c>
      <c r="F1503" s="68" t="inlineStr">
        <is>
          <t>◦작곡가, 편곡가, 작사가
◦각색영화편집</t>
        </is>
      </c>
      <c r="G1503" s="90" t="n">
        <v>49.7</v>
      </c>
      <c r="H1503" s="90" t="n">
        <v>29.6</v>
      </c>
      <c r="I1503" s="90" t="n">
        <v>8.199999999999999</v>
      </c>
    </row>
    <row r="1504">
      <c r="A1504" s="65" t="inlineStr">
        <is>
          <t>940302</t>
        </is>
      </c>
      <c r="B1504" s="68" t="inlineStr">
        <is>
          <t>협회 및 단체, 수리 및 기타 개인서비스업</t>
        </is>
      </c>
      <c r="C1504" s="68" t="inlineStr">
        <is>
          <t>인적용역</t>
        </is>
      </c>
      <c r="D1504" s="68" t="inlineStr">
        <is>
          <t>음악가및연예인</t>
        </is>
      </c>
      <c r="E1504" s="68" t="inlineStr">
        <is>
          <t>배우,탤런트등</t>
        </is>
      </c>
      <c r="F1504" s="68" t="inlineStr">
        <is>
          <t>◦배우, 탤런트, 성우, MC, 코메디언, 개그맨, 만담가</t>
        </is>
      </c>
      <c r="G1504" s="90" t="n">
        <v>29</v>
      </c>
      <c r="H1504" s="90" t="n">
        <v>10.6</v>
      </c>
      <c r="I1504" s="90" t="n">
        <v>5.9</v>
      </c>
    </row>
    <row r="1505">
      <c r="A1505" s="65" t="inlineStr">
        <is>
          <t>940303</t>
        </is>
      </c>
      <c r="B1505" s="68" t="inlineStr">
        <is>
          <t>협회 및 단체, 수리 및 기타 개인서비스업</t>
        </is>
      </c>
      <c r="C1505" s="68" t="inlineStr">
        <is>
          <t>인적용역</t>
        </is>
      </c>
      <c r="D1505" s="68" t="inlineStr">
        <is>
          <t>음악가및연예인</t>
        </is>
      </c>
      <c r="E1505" s="68" t="inlineStr">
        <is>
          <t>모델</t>
        </is>
      </c>
      <c r="F1505" s="68" t="inlineStr">
        <is>
          <t>◦탤런트, 배우 등의 광고모델수입 포함</t>
        </is>
      </c>
      <c r="G1505" s="90" t="n">
        <v>45.9</v>
      </c>
      <c r="H1505" s="90" t="n">
        <v>24.3</v>
      </c>
      <c r="I1505" s="90" t="n">
        <v>8.300000000000001</v>
      </c>
    </row>
    <row r="1506">
      <c r="A1506" s="65" t="inlineStr">
        <is>
          <t>940304</t>
        </is>
      </c>
      <c r="B1506" s="68" t="inlineStr">
        <is>
          <t>협회 및 단체, 수리 및 기타 개인서비스업</t>
        </is>
      </c>
      <c r="C1506" s="68" t="inlineStr">
        <is>
          <t>인적용역</t>
        </is>
      </c>
      <c r="D1506" s="68" t="inlineStr">
        <is>
          <t>음악가및연예인</t>
        </is>
      </c>
      <c r="E1506" s="68" t="inlineStr">
        <is>
          <t>가수</t>
        </is>
      </c>
      <c r="F1506" s="68" t="inlineStr">
        <is>
          <t>◦가수</t>
        </is>
      </c>
      <c r="G1506" s="90" t="n">
        <v>12.3</v>
      </c>
      <c r="H1506" s="90" t="n">
        <v>3.8</v>
      </c>
      <c r="I1506" s="90" t="n">
        <v>4.4</v>
      </c>
    </row>
    <row r="1507">
      <c r="A1507" s="65" t="inlineStr">
        <is>
          <t>940305</t>
        </is>
      </c>
      <c r="B1507" s="68" t="inlineStr">
        <is>
          <t>협회 및 단체, 수리 및 기타 개인서비스업</t>
        </is>
      </c>
      <c r="C1507" s="68" t="inlineStr">
        <is>
          <t>인적용역</t>
        </is>
      </c>
      <c r="D1507" s="68" t="inlineStr">
        <is>
          <t>음악가및연예인</t>
        </is>
      </c>
      <c r="E1507" s="68" t="inlineStr">
        <is>
          <t>성악가 등</t>
        </is>
      </c>
      <c r="F1507" s="68" t="inlineStr">
        <is>
          <t>◦성악가, 국악인, 무용가, 고전음악연주가, 악사, 영화감독, 연출가</t>
        </is>
      </c>
      <c r="G1507" s="90" t="n">
        <v>61.6</v>
      </c>
      <c r="H1507" s="90" t="n">
        <v>46.2</v>
      </c>
      <c r="I1507" s="90" t="n">
        <v>20.5</v>
      </c>
    </row>
    <row r="1508">
      <c r="A1508" s="65" t="inlineStr">
        <is>
          <t>940306</t>
        </is>
      </c>
      <c r="B1508" s="68" t="inlineStr">
        <is>
          <t>협회 및 단체, 수리 및 기타 개인서비스업</t>
        </is>
      </c>
      <c r="C1508" s="68" t="inlineStr">
        <is>
          <t>인적용역</t>
        </is>
      </c>
      <c r="D1508" s="68" t="inlineStr">
        <is>
          <t>기타자영업</t>
        </is>
      </c>
      <c r="E1508" s="68" t="inlineStr">
        <is>
          <t>1인미디어콘텐츠창작자</t>
        </is>
      </c>
      <c r="F1508" s="68" t="inlineStr">
        <is>
          <t>◦인적 또는 물적시설없이 인터넷기반으로 다양한 주제의 영상 콘텐츠 등을 창작하고 이를 영상 플랫폼에 업로드하여 시청자에게 유통함으로써 수익이 발생하는 산업활동을 말한다.
- 인적용역자의 콘텐츠 창작 등에 따른 수입 포함
(예시)유튜버, BJ, 크리에이터 등
*인적 또는 물적시설을 갖춘 미디어콘텐츠창작업은 921505 적용</t>
        </is>
      </c>
      <c r="G1508" s="90" t="n">
        <v>64.09999999999999</v>
      </c>
      <c r="H1508" s="90" t="n">
        <v>49.7</v>
      </c>
      <c r="I1508" s="90" t="n">
        <v>12.1</v>
      </c>
    </row>
    <row r="1509">
      <c r="A1509" s="65" t="inlineStr">
        <is>
          <t>940500</t>
        </is>
      </c>
      <c r="B1509" s="68" t="inlineStr">
        <is>
          <t>협회 및 단체, 수리 및 기타 개인서비스업</t>
        </is>
      </c>
      <c r="C1509" s="68" t="inlineStr">
        <is>
          <t>인적용역</t>
        </is>
      </c>
      <c r="D1509" s="68" t="inlineStr">
        <is>
          <t>연예보조서비스</t>
        </is>
      </c>
      <c r="E1509" s="68" t="inlineStr">
        <is>
          <t>연예보조서비스</t>
        </is>
      </c>
      <c r="F1509" s="68" t="inlineStr">
        <is>
          <t>◦연예보조출연자(엑스트라), 조명, 촬영, 장치, 녹음, 분장 등 기타</t>
        </is>
      </c>
      <c r="G1509" s="90" t="n">
        <v>70.90000000000001</v>
      </c>
      <c r="H1509" s="90" t="n">
        <v>59.3</v>
      </c>
      <c r="I1509" s="90" t="n">
        <v>16.2</v>
      </c>
    </row>
    <row r="1510">
      <c r="A1510" s="65" t="inlineStr">
        <is>
          <t>940600</t>
        </is>
      </c>
      <c r="B1510" s="68" t="inlineStr">
        <is>
          <t>협회 및 단체, 수리 및 기타 개인서비스업</t>
        </is>
      </c>
      <c r="C1510" s="68" t="inlineStr">
        <is>
          <t>인적용역</t>
        </is>
      </c>
      <c r="D1510" s="68" t="inlineStr">
        <is>
          <t>기타자영업</t>
        </is>
      </c>
      <c r="E1510" s="68" t="inlineStr">
        <is>
          <t>자문,감독,지도료,고문료,교정료</t>
        </is>
      </c>
      <c r="F1510" s="68" t="inlineStr">
        <is>
          <t>◦자격있는 자가 개업하지 않고 일시적으로 받는 자문ㆍ감독ㆍ지도료 등 이와 유사한 수입
◦교정, 고증, 필경, 타자 또는 음반취입의 대가로 받는 금품</t>
        </is>
      </c>
      <c r="G1510" s="90" t="n">
        <v>58.4</v>
      </c>
      <c r="H1510" s="90" t="n">
        <v>41.8</v>
      </c>
      <c r="I1510" s="90" t="n">
        <v>5.9</v>
      </c>
    </row>
    <row r="1511">
      <c r="A1511" s="65" t="inlineStr">
        <is>
          <t>940901</t>
        </is>
      </c>
      <c r="B1511" s="68" t="inlineStr">
        <is>
          <t>협회 및 단체, 수리 및 기타 개인서비스업</t>
        </is>
      </c>
      <c r="C1511" s="68" t="inlineStr">
        <is>
          <t>인적용역</t>
        </is>
      </c>
      <c r="D1511" s="68" t="inlineStr">
        <is>
          <t>기타자영업</t>
        </is>
      </c>
      <c r="E1511" s="68" t="inlineStr">
        <is>
          <t>바둑기사</t>
        </is>
      </c>
      <c r="F1511" s="68" t="inlineStr">
        <is>
          <t>◦바둑기사</t>
        </is>
      </c>
      <c r="G1511" s="90" t="n">
        <v>62.6</v>
      </c>
      <c r="H1511" s="90" t="n">
        <v>47.6</v>
      </c>
      <c r="I1511" s="90" t="n">
        <v>13</v>
      </c>
    </row>
    <row r="1512">
      <c r="A1512" s="65" t="inlineStr">
        <is>
          <t>940902</t>
        </is>
      </c>
      <c r="B1512" s="68" t="inlineStr">
        <is>
          <t>협회 및 단체, 수리 및 기타 개인서비스업</t>
        </is>
      </c>
      <c r="C1512" s="68" t="inlineStr">
        <is>
          <t>인적용역</t>
        </is>
      </c>
      <c r="D1512" s="68" t="inlineStr">
        <is>
          <t>기타자영업</t>
        </is>
      </c>
      <c r="E1512" s="68" t="inlineStr">
        <is>
          <t>꽃꽂이교사</t>
        </is>
      </c>
      <c r="F1512" s="68" t="inlineStr">
        <is>
          <t>◦꽃꽂이, 무용, 음악, 사교댄스 및 요리교사</t>
        </is>
      </c>
      <c r="G1512" s="90" t="n">
        <v>81.8</v>
      </c>
      <c r="H1512" s="90" t="n">
        <v>74.5</v>
      </c>
      <c r="I1512" s="90" t="n">
        <v>27.9</v>
      </c>
    </row>
    <row r="1513">
      <c r="A1513" s="65" t="inlineStr">
        <is>
          <t>940903</t>
        </is>
      </c>
      <c r="B1513" s="68" t="inlineStr">
        <is>
          <t>협회 및 단체, 수리 및 기타 개인서비스업</t>
        </is>
      </c>
      <c r="C1513" s="68" t="inlineStr">
        <is>
          <t>인적용역</t>
        </is>
      </c>
      <c r="D1513" s="68" t="inlineStr">
        <is>
          <t>기타자영업</t>
        </is>
      </c>
      <c r="E1513" s="68" t="inlineStr">
        <is>
          <t>학원강사,강사,과외교습자,재단사</t>
        </is>
      </c>
      <c r="F1513" s="68" t="inlineStr">
        <is>
          <t xml:space="preserve">◦학원강사,강사,과외교습자,재단사
&lt;제외&gt;
·방과후강사(940925),          
·학습지 방문강사(940920) 
·교육교구방문강사(940921).   
 ·꽃꽂이 교사(940902) </t>
        </is>
      </c>
      <c r="G1513" s="90" t="n">
        <v>61.7</v>
      </c>
      <c r="H1513" s="90" t="n">
        <v>46.4</v>
      </c>
      <c r="I1513" s="90" t="n">
        <v>14.9</v>
      </c>
    </row>
    <row r="1514">
      <c r="A1514" s="65" t="inlineStr">
        <is>
          <t>940904</t>
        </is>
      </c>
      <c r="B1514" s="68" t="inlineStr">
        <is>
          <t>협회 및 단체, 수리 및 기타 개인서비스업</t>
        </is>
      </c>
      <c r="C1514" s="68" t="inlineStr">
        <is>
          <t>인적용역</t>
        </is>
      </c>
      <c r="D1514" s="68" t="inlineStr">
        <is>
          <t>기타자영업</t>
        </is>
      </c>
      <c r="E1514" s="68" t="inlineStr">
        <is>
          <t>직업운동가</t>
        </is>
      </c>
      <c r="F1514" s="68" t="inlineStr">
        <is>
          <t>◦운동지도가, 기사, 역사(심판포함), 경륜, 경정선수, 기수, 경기기록계원, 감독 등 포함</t>
        </is>
      </c>
      <c r="G1514" s="90" t="n">
        <v>54.5</v>
      </c>
      <c r="H1514" s="90" t="n">
        <v>36.3</v>
      </c>
      <c r="I1514" s="90" t="n">
        <v>14.9</v>
      </c>
    </row>
    <row r="1515">
      <c r="A1515" s="65" t="inlineStr">
        <is>
          <t>940905</t>
        </is>
      </c>
      <c r="B1515" s="68" t="inlineStr">
        <is>
          <t>협회 및 단체, 수리 및 기타 개인서비스업</t>
        </is>
      </c>
      <c r="C1515" s="68" t="inlineStr">
        <is>
          <t>인적용역</t>
        </is>
      </c>
      <c r="D1515" s="68" t="inlineStr">
        <is>
          <t>기타자영업</t>
        </is>
      </c>
      <c r="E1515" s="68" t="inlineStr">
        <is>
          <t>유흥접객원 및 댄서</t>
        </is>
      </c>
      <c r="F1515" s="68" t="inlineStr">
        <is>
          <t>◦손님과 함께 술을 마시거나 노래 또는 춤으로 손님의 유흥을 돋우는 접객원(「식품위생법시행령」 제22조)</t>
        </is>
      </c>
      <c r="G1515" s="90" t="n">
        <v>61.7</v>
      </c>
      <c r="H1515" s="90" t="n">
        <v>46.4</v>
      </c>
      <c r="I1515" s="90" t="n">
        <v>22.5</v>
      </c>
    </row>
    <row r="1516">
      <c r="A1516" s="65" t="inlineStr">
        <is>
          <t>940906</t>
        </is>
      </c>
      <c r="B1516" s="68" t="inlineStr">
        <is>
          <t>협회 및 단체, 수리 및 기타 개인서비스업</t>
        </is>
      </c>
      <c r="C1516" s="68" t="inlineStr">
        <is>
          <t>인적용역</t>
        </is>
      </c>
      <c r="D1516" s="68" t="inlineStr">
        <is>
          <t>기타자영업</t>
        </is>
      </c>
      <c r="E1516" s="68" t="inlineStr">
        <is>
          <t>보험설계사</t>
        </is>
      </c>
      <c r="F1516" s="68" t="inlineStr">
        <is>
          <t>◦보험가입자의 모집 또는 집금 등의 활동을 하고 실적에 따라 보험회사, 은행으로부터 모집, 집금수당 등을 받는 업</t>
        </is>
      </c>
      <c r="G1516" s="90" t="n">
        <v>77.59999999999999</v>
      </c>
      <c r="H1516" s="90" t="n">
        <v>68.59999999999999</v>
      </c>
      <c r="I1516" s="90" t="n">
        <v>26.5</v>
      </c>
    </row>
    <row r="1517">
      <c r="A1517" s="65" t="inlineStr">
        <is>
          <t>940907</t>
        </is>
      </c>
      <c r="B1517" s="68" t="inlineStr">
        <is>
          <t>협회 및 단체, 수리 및 기타 개인서비스업</t>
        </is>
      </c>
      <c r="C1517" s="68" t="inlineStr">
        <is>
          <t>인적용역</t>
        </is>
      </c>
      <c r="D1517" s="68" t="inlineStr">
        <is>
          <t>기타자영업</t>
        </is>
      </c>
      <c r="E1517" s="68" t="inlineStr">
        <is>
          <t>음료품배달원</t>
        </is>
      </c>
      <c r="F1517" s="68" t="inlineStr">
        <is>
          <t>◦판매실적에 따라 수수료를 받는 요구르트 등의 배달원
 ◦우유배달판매, 요구르트배달판매
 *음료품 소매판매원(→522099)</t>
        </is>
      </c>
      <c r="G1517" s="90" t="n">
        <v>80</v>
      </c>
      <c r="H1517" s="90" t="n">
        <v>72</v>
      </c>
      <c r="I1517" s="90" t="n">
        <v>34.7</v>
      </c>
    </row>
    <row r="1518">
      <c r="A1518" s="65" t="inlineStr">
        <is>
          <t>940908</t>
        </is>
      </c>
      <c r="B1518" s="68" t="inlineStr">
        <is>
          <t>협회 및 단체, 수리 및 기타 개인서비스업</t>
        </is>
      </c>
      <c r="C1518" s="68" t="inlineStr">
        <is>
          <t>인적용역</t>
        </is>
      </c>
      <c r="D1518" s="68" t="inlineStr">
        <is>
          <t>기타자영업</t>
        </is>
      </c>
      <c r="E1518" s="68" t="inlineStr">
        <is>
          <t>서적방문판매원,학습지방문판매원,화장품방문판매원,정수기방문판매원,자동차방문판매원,일반(기타)방문판매원</t>
        </is>
      </c>
      <c r="F1518" s="68" t="inlineStr">
        <is>
          <t>◦서적 방문판매원
◦학습지 방문판매원
 ∙학습지(눈높이, 재능, 구몬, 웅진씽크빅, 윤선생 등) 배부 및 진도관리 등을 하고 그 실적에 따라 대가를 받는 사람
◦화장품 방문판매원
◦정수기 방문판매원
◦자동차 방문판매원
◦일반(기타) 방문판매원
 *다단계 판매방식에 의할 경우에는 940910 적용
&lt;제외&gt;
·중고자동차판매원(940929)</t>
        </is>
      </c>
      <c r="G1518" s="90" t="n">
        <v>75</v>
      </c>
      <c r="H1518" s="90" t="n">
        <v>65</v>
      </c>
      <c r="I1518" s="90" t="n">
        <v>17.6</v>
      </c>
    </row>
    <row r="1519">
      <c r="A1519" s="65" t="inlineStr">
        <is>
          <t>940909</t>
        </is>
      </c>
      <c r="B1519" s="68" t="inlineStr">
        <is>
          <t>협회 및 단체, 수리 및 기타 개인서비스업</t>
        </is>
      </c>
      <c r="C1519" s="68" t="inlineStr">
        <is>
          <t>인적용역</t>
        </is>
      </c>
      <c r="D1519" s="68" t="inlineStr">
        <is>
          <t>기타자영업</t>
        </is>
      </c>
      <c r="E1519" s="68" t="inlineStr">
        <is>
          <t>기타자영업</t>
        </is>
      </c>
      <c r="F1519" s="68" t="inlineStr">
        <is>
          <t>◦컴퓨터 프로그래머(소프트웨어프리랜서 제외(→940926), 조율사, 전기ㆍ가스검침원 등 달리 분류되지 않은 기타 자영업으로서 독립된 자격으로, 고정보수를 받지 아니하고 그 실적에 따라 수수료를 지급받는 경우 포함
 *어로장
&lt;제외&gt;
·1인미디어콘텐츠 창작자(940306)
·소프트웨어프리랜서(940926)
·관광통역안내사(940927)
·어린이통학버스기사(940928)
·학원강사, 강사, 과외교습자(940903)  
 ·방과후강사(940925)</t>
        </is>
      </c>
      <c r="G1519" s="90" t="n">
        <v>64.09999999999999</v>
      </c>
      <c r="H1519" s="90" t="n">
        <v>49.7</v>
      </c>
      <c r="I1519" s="90" t="n">
        <v>13.4</v>
      </c>
    </row>
    <row r="1520">
      <c r="A1520" s="65" t="inlineStr">
        <is>
          <t>940910</t>
        </is>
      </c>
      <c r="B1520" s="68" t="inlineStr">
        <is>
          <t>협회 및 단체, 수리 및 기타 개인서비스업</t>
        </is>
      </c>
      <c r="C1520" s="68" t="inlineStr">
        <is>
          <t>인적용역</t>
        </is>
      </c>
      <c r="D1520" s="68" t="inlineStr">
        <is>
          <t>기타자영업</t>
        </is>
      </c>
      <c r="E1520" s="68" t="inlineStr">
        <is>
          <t>다단계판매원의후원수당</t>
        </is>
      </c>
      <c r="F1520" s="68" t="inlineStr">
        <is>
          <t>◦「방문판매 등에 관한 법률」에 따른 다단계 판매원의 후원수당
 *다단계판매원의 소매수입(→525200)</t>
        </is>
      </c>
      <c r="G1520" s="90" t="n">
        <v>67.8</v>
      </c>
      <c r="H1520" s="90" t="n">
        <v>54.9</v>
      </c>
      <c r="I1520" s="90" t="n">
        <v>10.9</v>
      </c>
    </row>
    <row r="1521">
      <c r="A1521" s="65" t="inlineStr">
        <is>
          <t>940911</t>
        </is>
      </c>
      <c r="B1521" s="68" t="inlineStr">
        <is>
          <t>협회 및 단체, 수리 및 기타 개인서비스업</t>
        </is>
      </c>
      <c r="C1521" s="68" t="inlineStr">
        <is>
          <t>인적용역</t>
        </is>
      </c>
      <c r="D1521" s="68" t="inlineStr">
        <is>
          <t>기타자영업</t>
        </is>
      </c>
      <c r="E1521" s="68" t="inlineStr">
        <is>
          <t>기타모집수당,채권회수수당</t>
        </is>
      </c>
      <c r="F1521" s="68" t="inlineStr">
        <is>
          <t>◦기타 모집수당
 ◦증권매입의 권유, 저축의 권장 또는 집금 등의 활동을 하고 실적에 따라 증권회사 또는 금융회사로부터 모집, 권장, 집금수당 등을 받는 업과 기타 이와 유사한 성질의 대가를 받는 용역 제공업(증권투자상담사 포함)
 ◦부동산 분양대행업자와 고용관계없이 분양알선을 해주거나 신문구독 등의 모집알선을 하고 그 실적에 따라 일정 대가를 받는 자영업자 포함
 *부동산분양대행업자는 부동산중개업(702001)적용
◦채권회수수당
 ◦채권회수용역을 수행하고 실적에 따라 수당 등을 받는 업</t>
        </is>
      </c>
      <c r="G1521" s="90" t="n">
        <v>67.7</v>
      </c>
      <c r="H1521" s="90" t="n">
        <v>54.8</v>
      </c>
      <c r="I1521" s="90" t="n">
        <v>13.2</v>
      </c>
    </row>
    <row r="1522">
      <c r="A1522" s="65" t="inlineStr">
        <is>
          <t>940912</t>
        </is>
      </c>
      <c r="B1522" s="68" t="inlineStr">
        <is>
          <t>협회 및 단체, 수리 및 기타 개인서비스업</t>
        </is>
      </c>
      <c r="C1522" s="68" t="inlineStr">
        <is>
          <t>인적용역</t>
        </is>
      </c>
      <c r="D1522" s="68" t="inlineStr">
        <is>
          <t>기타자영업</t>
        </is>
      </c>
      <c r="E1522" s="68" t="inlineStr">
        <is>
          <t>개인간병인</t>
        </is>
      </c>
      <c r="F1522" s="68" t="inlineStr">
        <is>
          <t>◦병원, 요양소, 산업체 및 기타 관련기관에서 거동이 불편한 환자를 돌보는 일을 수행하고 대가를 받는 업
 ◦방문간호서비스, 파출간병인서비스</t>
        </is>
      </c>
      <c r="G1522" s="90" t="n">
        <v>80.2</v>
      </c>
      <c r="H1522" s="90" t="n">
        <v>72.3</v>
      </c>
      <c r="I1522" s="90" t="n">
        <v>27</v>
      </c>
    </row>
    <row r="1523">
      <c r="A1523" s="65" t="inlineStr">
        <is>
          <t>940913</t>
        </is>
      </c>
      <c r="B1523" s="68" t="inlineStr">
        <is>
          <t>협회 및 단체, 수리 및 기타 개인서비스업</t>
        </is>
      </c>
      <c r="C1523" s="68" t="inlineStr">
        <is>
          <t>인적용역</t>
        </is>
      </c>
      <c r="D1523" s="68" t="inlineStr">
        <is>
          <t>기타자영업</t>
        </is>
      </c>
      <c r="E1523" s="68" t="inlineStr">
        <is>
          <t>대리운전기사</t>
        </is>
      </c>
      <c r="F1523" s="68" t="inlineStr">
        <is>
          <t>◦대리운전용역을 직접 제공하고 실적에 따라 대가를 받는 업</t>
        </is>
      </c>
      <c r="G1523" s="90" t="n">
        <v>73.7</v>
      </c>
      <c r="H1523" s="90" t="n">
        <v>63.2</v>
      </c>
      <c r="I1523" s="90" t="n">
        <v>25.3</v>
      </c>
    </row>
    <row r="1524">
      <c r="A1524" s="65" t="inlineStr">
        <is>
          <t>940914</t>
        </is>
      </c>
      <c r="B1524" s="68" t="inlineStr">
        <is>
          <t>협회 및 단체, 수리 및 기타 개인서비스업</t>
        </is>
      </c>
      <c r="C1524" s="68" t="inlineStr">
        <is>
          <t>인적용역</t>
        </is>
      </c>
      <c r="D1524" s="68" t="inlineStr">
        <is>
          <t>기타자영업</t>
        </is>
      </c>
      <c r="E1524" s="68" t="inlineStr">
        <is>
          <t>골프장캐디</t>
        </is>
      </c>
      <c r="F1524" s="68" t="inlineStr">
        <is>
          <t>◦골프장에서 경기자를 따라다니며 보조용역을 수행하고 대가를 받는 업</t>
        </is>
      </c>
      <c r="G1524" s="90" t="n">
        <v>71.40000000000001</v>
      </c>
      <c r="H1524" s="90" t="n">
        <v>60</v>
      </c>
      <c r="I1524" s="90" t="n">
        <v>20.8</v>
      </c>
    </row>
    <row r="1525">
      <c r="A1525" s="65" t="inlineStr">
        <is>
          <t>940915</t>
        </is>
      </c>
      <c r="B1525" s="68" t="inlineStr">
        <is>
          <t>협회 및 단체, 수리 및 기타 개인서비스업</t>
        </is>
      </c>
      <c r="C1525" s="68" t="inlineStr">
        <is>
          <t>인적용역</t>
        </is>
      </c>
      <c r="D1525" s="68" t="inlineStr">
        <is>
          <t>기타자영업</t>
        </is>
      </c>
      <c r="E1525" s="68" t="inlineStr">
        <is>
          <t>목욕관리사</t>
        </is>
      </c>
      <c r="F1525" s="68" t="inlineStr">
        <is>
          <t xml:space="preserve">◦손님의 목욕을 도와주고 대가를 받는 업 </t>
        </is>
      </c>
      <c r="G1525" s="90" t="n">
        <v>78.2</v>
      </c>
      <c r="H1525" s="90" t="n">
        <v>69.5</v>
      </c>
      <c r="I1525" s="90" t="n">
        <v>35.1</v>
      </c>
    </row>
    <row r="1526">
      <c r="A1526" s="65" t="inlineStr">
        <is>
          <t>940916</t>
        </is>
      </c>
      <c r="B1526" s="68" t="inlineStr">
        <is>
          <t>협회 및 단체, 수리 및 기타 개인서비스업</t>
        </is>
      </c>
      <c r="C1526" s="68" t="inlineStr">
        <is>
          <t>인적용역</t>
        </is>
      </c>
      <c r="D1526" s="68" t="inlineStr">
        <is>
          <t>기타자영업</t>
        </is>
      </c>
      <c r="E1526" s="68" t="inlineStr">
        <is>
          <t>행사도우미</t>
        </is>
      </c>
      <c r="F1526" s="68" t="inlineStr">
        <is>
          <t>◦사업체 등에서 자사 상품 및 시설의 장점, 기능 등을 홍보하고 그 대가를 받는 업</t>
        </is>
      </c>
      <c r="G1526" s="90" t="n">
        <v>69.8</v>
      </c>
      <c r="H1526" s="90" t="n">
        <v>57.7</v>
      </c>
      <c r="I1526" s="90" t="n">
        <v>14.7</v>
      </c>
    </row>
    <row r="1527">
      <c r="A1527" s="65" t="inlineStr">
        <is>
          <t>940917</t>
        </is>
      </c>
      <c r="B1527" s="68" t="inlineStr">
        <is>
          <t>협회 및 단체, 수리 및 기타 개인서비스업</t>
        </is>
      </c>
      <c r="C1527" s="68" t="inlineStr">
        <is>
          <t>인적용역</t>
        </is>
      </c>
      <c r="D1527" s="68" t="inlineStr">
        <is>
          <t>기타자영업</t>
        </is>
      </c>
      <c r="E1527" s="68" t="inlineStr">
        <is>
          <t>심부름용역원</t>
        </is>
      </c>
      <c r="F1527" s="68" t="inlineStr">
        <is>
          <t>◦개인 및 사업체의 각종 정보 등을 제공하고 심부름업체 등으로부터 그 대가를 받는 업 
 ◦말벗서비스, 심부름센터</t>
        </is>
      </c>
      <c r="G1527" s="90" t="n">
        <v>71.5</v>
      </c>
      <c r="H1527" s="90" t="n">
        <v>60.1</v>
      </c>
      <c r="I1527" s="90" t="n">
        <v>25.4</v>
      </c>
    </row>
    <row r="1528">
      <c r="A1528" s="65" t="inlineStr">
        <is>
          <t>940918</t>
        </is>
      </c>
      <c r="B1528" s="68" t="inlineStr">
        <is>
          <t>협회 및 단체, 수리 및 기타 개인서비스업</t>
        </is>
      </c>
      <c r="C1528" s="68" t="inlineStr">
        <is>
          <t>인적용역</t>
        </is>
      </c>
      <c r="D1528" s="68" t="inlineStr">
        <is>
          <t>기타자영업</t>
        </is>
      </c>
      <c r="E1528" s="68" t="inlineStr">
        <is>
          <t>퀵서비스배달원</t>
        </is>
      </c>
      <c r="F1528" s="68" t="inlineStr">
        <is>
          <t>◦배달대행업체나 배달중개프로그램 등을 통하여 배달의뢰가 들어오면 오토바이 등을 이용하여 직접 음식물이나 물품 등을 지정된 곳에 신속히 배달해주고 그 대가를 받는 업
&lt;예 시&gt;
·퀵서비스·배달대행업체배달원
&lt;제 외&gt;
·각종 짐 운반원(→940919)
·음료품배달원(→940907)</t>
        </is>
      </c>
      <c r="G1528" s="90" t="n">
        <v>79.40000000000001</v>
      </c>
      <c r="H1528" s="90" t="n">
        <v>71.2</v>
      </c>
      <c r="I1528" s="90" t="n">
        <v>15.3</v>
      </c>
    </row>
    <row r="1529">
      <c r="A1529" s="65" t="inlineStr">
        <is>
          <t>940919</t>
        </is>
      </c>
      <c r="B1529" s="68" t="inlineStr">
        <is>
          <t>협회 및 단체, 수리 및 기타 개인서비스업</t>
        </is>
      </c>
      <c r="C1529" s="68" t="inlineStr">
        <is>
          <t>인적용역</t>
        </is>
      </c>
      <c r="D1529" s="68" t="inlineStr">
        <is>
          <t>기타자영업</t>
        </is>
      </c>
      <c r="E1529" s="68" t="inlineStr">
        <is>
          <t>기타물품운반원</t>
        </is>
      </c>
      <c r="F1529" s="68" t="inlineStr">
        <is>
          <t>◦의류(직물) 운반원, 이삿짐운반원, 짐운반원 등 각종 물건을 운반해 주고 그 대가를 받는 업
&lt;제 외&gt;
·퀵서비스·배달대행업체배달원(→940918)
·음료품배달원(→940907)</t>
        </is>
      </c>
      <c r="G1529" s="90" t="n">
        <v>72.8</v>
      </c>
      <c r="H1529" s="90" t="n">
        <v>61.9</v>
      </c>
      <c r="I1529" s="90" t="n">
        <v>21.3</v>
      </c>
    </row>
    <row r="1530">
      <c r="A1530" s="65" t="inlineStr">
        <is>
          <t>940920</t>
        </is>
      </c>
      <c r="B1530" s="68" t="inlineStr">
        <is>
          <t>협회 및 단체, 수리 및 기타 개인서비스업</t>
        </is>
      </c>
      <c r="C1530" s="68" t="inlineStr">
        <is>
          <t>인적용역</t>
        </is>
      </c>
      <c r="D1530" s="68" t="inlineStr">
        <is>
          <t>기타자영업</t>
        </is>
      </c>
      <c r="E1530" s="68" t="inlineStr">
        <is>
          <t>학습지 방문강사</t>
        </is>
      </c>
      <c r="F1530" s="68" t="inlineStr">
        <is>
          <t>◦학습지(국어, 영어 등) 회원의 가정을 방문하여 학습내용을 지도하고 대가를 받는 업</t>
        </is>
      </c>
      <c r="G1530" s="90" t="n">
        <v>75</v>
      </c>
      <c r="H1530" s="90" t="n">
        <v>65</v>
      </c>
      <c r="I1530" s="90" t="n">
        <v>31.5</v>
      </c>
    </row>
    <row r="1531">
      <c r="A1531" s="65" t="inlineStr">
        <is>
          <t>940921</t>
        </is>
      </c>
      <c r="B1531" s="68" t="inlineStr">
        <is>
          <t>협회 및 단체, 수리 및 기타 개인서비스업</t>
        </is>
      </c>
      <c r="C1531" s="68" t="inlineStr">
        <is>
          <t>인적용역</t>
        </is>
      </c>
      <c r="D1531" s="68" t="inlineStr">
        <is>
          <t>기타자영업</t>
        </is>
      </c>
      <c r="E1531" s="68" t="inlineStr">
        <is>
          <t>교육교구 방문강사</t>
        </is>
      </c>
      <c r="F1531" s="68" t="inlineStr">
        <is>
          <t>◦유아 및 아동의 사고력과 창의력 발달을 위해 학습지가 아닌 교재 및 교구를 활용하여 지도하고 대가를 받는 업</t>
        </is>
      </c>
      <c r="G1531" s="90" t="n">
        <v>75.59999999999999</v>
      </c>
      <c r="H1531" s="90" t="n">
        <v>65.8</v>
      </c>
      <c r="I1531" s="90" t="n">
        <v>28.6</v>
      </c>
    </row>
    <row r="1532">
      <c r="A1532" s="65" t="inlineStr">
        <is>
          <t>940922</t>
        </is>
      </c>
      <c r="B1532" s="68" t="inlineStr">
        <is>
          <t>협회 및 단체, 수리 및 기타 개인서비스업</t>
        </is>
      </c>
      <c r="C1532" s="68" t="inlineStr">
        <is>
          <t>인적용역</t>
        </is>
      </c>
      <c r="D1532" s="68" t="inlineStr">
        <is>
          <t>기타자영업</t>
        </is>
      </c>
      <c r="E1532" s="68" t="inlineStr">
        <is>
          <t>대여제품 방문점검원</t>
        </is>
      </c>
      <c r="F1532" s="68" t="inlineStr">
        <is>
          <t xml:space="preserve">◦가정 및 사무실 등을 방문하여 대여 제품의 유지·관리를 위한 정기적인 점검활동을 하고 대가를 받는 업 </t>
        </is>
      </c>
      <c r="G1532" s="90" t="n">
        <v>75</v>
      </c>
      <c r="H1532" s="90" t="n">
        <v>65</v>
      </c>
      <c r="I1532" s="90" t="n">
        <v>29.9</v>
      </c>
    </row>
    <row r="1533">
      <c r="A1533" s="65" t="inlineStr">
        <is>
          <t>940923</t>
        </is>
      </c>
      <c r="B1533" s="68" t="inlineStr">
        <is>
          <t>협회 및 단체, 수리 및 기타 개인서비스업</t>
        </is>
      </c>
      <c r="C1533" s="68" t="inlineStr">
        <is>
          <t>인적용역</t>
        </is>
      </c>
      <c r="D1533" s="68" t="inlineStr">
        <is>
          <t>기타자영업</t>
        </is>
      </c>
      <c r="E1533" s="68" t="inlineStr">
        <is>
          <t>대출모집인</t>
        </is>
      </c>
      <c r="F1533" s="68" t="inlineStr">
        <is>
          <t>◦금융회사나 대출모집법인으로부터 업무를 위탁받아 대출신청에 관한 상담업무를 수행하거나 대출 수요자를 발굴하여 대출신청자를 모집하고 대가를 받는 업</t>
        </is>
      </c>
      <c r="G1533" s="90" t="n">
        <v>67.5</v>
      </c>
      <c r="H1533" s="90" t="n">
        <v>54.5</v>
      </c>
      <c r="I1533" s="90" t="n">
        <v>24.8</v>
      </c>
    </row>
    <row r="1534">
      <c r="A1534" s="65" t="inlineStr">
        <is>
          <t>940924</t>
        </is>
      </c>
      <c r="B1534" s="68" t="inlineStr">
        <is>
          <t>협회 및 단체, 수리 및 기타 개인서비스업</t>
        </is>
      </c>
      <c r="C1534" s="68" t="inlineStr">
        <is>
          <t>인적용역</t>
        </is>
      </c>
      <c r="D1534" s="68" t="inlineStr">
        <is>
          <t>기타자영업</t>
        </is>
      </c>
      <c r="E1534" s="68" t="inlineStr">
        <is>
          <t>신용카드회원 모집인</t>
        </is>
      </c>
      <c r="F1534" s="68" t="inlineStr">
        <is>
          <t>◦신용카드 회사로부터 업무를 위탁받아 신용카드 발급계약의 체결을 중개하고 대가를 받는 업</t>
        </is>
      </c>
      <c r="G1534" s="90" t="n">
        <v>70.3</v>
      </c>
      <c r="H1534" s="90" t="n">
        <v>58.4</v>
      </c>
      <c r="I1534" s="90" t="n">
        <v>29.2</v>
      </c>
    </row>
    <row r="1535">
      <c r="A1535" s="65" t="inlineStr">
        <is>
          <t>940925</t>
        </is>
      </c>
      <c r="B1535" s="68" t="inlineStr">
        <is>
          <t>협회 및 단체, 수리 및 기타 개인서비스업</t>
        </is>
      </c>
      <c r="C1535" s="68" t="inlineStr">
        <is>
          <t>인적용역</t>
        </is>
      </c>
      <c r="D1535" s="68" t="inlineStr">
        <is>
          <t>기타자영업</t>
        </is>
      </c>
      <c r="E1535" s="68" t="inlineStr">
        <is>
          <t>방과후강사</t>
        </is>
      </c>
      <c r="F1535" s="68" t="inlineStr">
        <is>
          <t>◦학교 교육계획에 따라 일정기간 동안 정규수업 이외의 방과후학교 프로그램(단, 돌봄과정 제외)을 운영하고 대가를 받는 업
(단, 「교육공무원법」에 따른 교원과 「사립학교교직원연금법」의 적용을 받는 사람은 제외) 
&lt;제외&gt;
·학원강사, 강사, 과외교습자(940903)</t>
        </is>
      </c>
      <c r="G1535" s="90" t="n">
        <v>69.3</v>
      </c>
      <c r="H1535" s="90" t="n">
        <v>57</v>
      </c>
      <c r="I1535" s="90" t="n">
        <v>14.9</v>
      </c>
    </row>
    <row r="1536">
      <c r="A1536" s="65" t="inlineStr">
        <is>
          <t>940926</t>
        </is>
      </c>
      <c r="B1536" s="68" t="inlineStr">
        <is>
          <t>협회 및 단체, 수리 및 기타 개인서비스업</t>
        </is>
      </c>
      <c r="C1536" s="68" t="inlineStr">
        <is>
          <t>인적용역</t>
        </is>
      </c>
      <c r="D1536" s="68" t="inlineStr">
        <is>
          <t>기타자영업</t>
        </is>
      </c>
      <c r="E1536" s="68" t="inlineStr">
        <is>
          <t>소프트웨어프리랜서</t>
        </is>
      </c>
      <c r="F1536" s="68" t="inlineStr">
        <is>
          <t xml:space="preserve">◦｢소프트웨어 진흥법｣ 제2조제10호에 따른 소프트웨어기술자*로서, 소프트웨어의 개발, 제작, 생산, 유통, 운영 및 유지, 관리 등과 그 밖에 소프트웨어와 관련된 서비스를 제공하는 소프트웨어 사업에서 용역을 공급하는 자
*「국가기술자격법」에 따라 정보기술 분야의 국가기술자격을 취득한 사람 또는 소프트웨어 분야에서 「소프트웨어 진흥법 시행령」 제2조에서 정하는 학력이나 경력을 가진 사람
&lt;예시&gt; 
 ·소프트웨어프리랜서 
 ·소프트웨어기술자 </t>
        </is>
      </c>
      <c r="G1536" s="90" t="n">
        <v>64.09999999999999</v>
      </c>
      <c r="H1536" s="90" t="n">
        <v>49.7</v>
      </c>
      <c r="I1536" s="90" t="n">
        <v>20.9</v>
      </c>
    </row>
    <row r="1537">
      <c r="A1537" s="65" t="inlineStr">
        <is>
          <t>940927</t>
        </is>
      </c>
      <c r="B1537" s="68" t="inlineStr">
        <is>
          <t>협회 및 단체, 수리 및 기타 개인서비스업</t>
        </is>
      </c>
      <c r="C1537" s="68" t="inlineStr">
        <is>
          <t>인적용역</t>
        </is>
      </c>
      <c r="D1537" s="68" t="inlineStr">
        <is>
          <t>기타자영업</t>
        </is>
      </c>
      <c r="E1537" s="68" t="inlineStr">
        <is>
          <t>관광통역안내사</t>
        </is>
      </c>
      <c r="F1537" s="68" t="inlineStr">
        <is>
          <t xml:space="preserve">◦관광통역안내사 자격을 취득하고 외국인 관광객을 대상으로 국내 관광 안내를 하고 대가를 받는 업
 - 사전에 예약된 손님을 공항으로 마중나가고 여행경비 산출, 일정표 작성, 명승지나 고적지 안내, 환전, 호텔과 택시의 이용 등 입국에서 출국에 이르기까지 관광 여행자들의 관광 일정에 모든 편의와 도움을 제공하는 일을 포함한다 </t>
        </is>
      </c>
      <c r="G1537" s="90" t="n">
        <v>64.09999999999999</v>
      </c>
      <c r="H1537" s="90" t="n">
        <v>49.7</v>
      </c>
      <c r="I1537" s="90" t="n">
        <v>13.1</v>
      </c>
    </row>
    <row r="1538">
      <c r="A1538" s="65" t="inlineStr">
        <is>
          <t>940928</t>
        </is>
      </c>
      <c r="B1538" s="68" t="inlineStr">
        <is>
          <t>협회 및 단체, 수리 및 기타 개인서비스업</t>
        </is>
      </c>
      <c r="C1538" s="68" t="inlineStr">
        <is>
          <t>인적용역</t>
        </is>
      </c>
      <c r="D1538" s="68" t="inlineStr">
        <is>
          <t>기타자영업</t>
        </is>
      </c>
      <c r="E1538" s="68" t="inlineStr">
        <is>
          <t>어린이통학버스기사</t>
        </is>
      </c>
      <c r="F1538" s="68" t="inlineStr">
        <is>
          <t xml:space="preserve">◦유치원, 어린이집, 학원, 체육시설 등 어린이교육시설에서 13세 미만인 어린이의 통학 등에 이용되는 어린이통학버스( ｢도로교통법｣ 제2조제23호 및 제52조에 해당하는 것)를 운전하고 대가를 받는 업
 * 어린이통학버스기사가 인적 또는 물적시설(본인 또는 공동소유 차량)을 갖춘 경우(→602110) </t>
        </is>
      </c>
      <c r="G1538" s="90" t="n">
        <v>71.3</v>
      </c>
      <c r="H1538" s="90" t="n">
        <v>59.8</v>
      </c>
      <c r="I1538" s="90" t="n">
        <v>15.3</v>
      </c>
    </row>
    <row r="1539">
      <c r="A1539" s="65" t="inlineStr">
        <is>
          <t>940929</t>
        </is>
      </c>
      <c r="B1539" s="68" t="inlineStr">
        <is>
          <t>협회 및 단체, 수리 및 기타 개인서비스업</t>
        </is>
      </c>
      <c r="C1539" s="68" t="inlineStr">
        <is>
          <t>인적용역</t>
        </is>
      </c>
      <c r="D1539" s="68" t="inlineStr">
        <is>
          <t>기타자영업</t>
        </is>
      </c>
      <c r="E1539" s="68" t="inlineStr">
        <is>
          <t>중고자동차판매원</t>
        </is>
      </c>
      <c r="F1539" s="68" t="inlineStr">
        <is>
          <t xml:space="preserve">◦중고차의 매입 또는 판매를 알선하고 대가를 받는 자(중고차의 주행거리, 시장상황, 상태 등을 종합적으로 파악하여, 적정 판매가격을 결정하여 중고차의 매입 또는 판매를 알선한다)
&lt;예시&gt; 
중고차매입딜러, 중고차판매딜러 </t>
        </is>
      </c>
      <c r="G1539" s="90" t="n">
        <v>75</v>
      </c>
      <c r="H1539" s="90" t="n">
        <v>65</v>
      </c>
      <c r="I1539" s="90" t="n">
        <v>24.2</v>
      </c>
    </row>
    <row r="1540">
      <c r="A1540" s="65" t="inlineStr">
        <is>
          <t>950000</t>
        </is>
      </c>
      <c r="B1540" s="68" t="inlineStr">
        <is>
          <t>협회 및 단체, 수리 및 기타 개인서비스업</t>
        </is>
      </c>
      <c r="C1540" s="68" t="inlineStr">
        <is>
          <t>기타 개인 서비스업</t>
        </is>
      </c>
      <c r="D1540" s="68" t="inlineStr">
        <is>
          <t>그 외 기타 분류 안된 개인 서비스업</t>
        </is>
      </c>
      <c r="E1540" s="68" t="inlineStr">
        <is>
          <t>그 외 기타 달리 분류되지 않은 개인 서비스업</t>
        </is>
      </c>
      <c r="F1540" s="68" t="inlineStr">
        <is>
          <t>◦가구내 기타 개인 서비스</t>
        </is>
      </c>
      <c r="G1540" s="90" t="n">
        <v>84.3</v>
      </c>
      <c r="H1540" s="90" t="n">
        <v>0</v>
      </c>
      <c r="I1540" s="90" t="n">
        <v>22.1</v>
      </c>
    </row>
    <row r="1541">
      <c r="A1541" s="65" t="inlineStr">
        <is>
          <t>950001</t>
        </is>
      </c>
      <c r="B1541" s="68" t="inlineStr">
        <is>
          <t>가구 내 고용활동 및 달리 분류되지 않은 자가 소비 생산활동</t>
        </is>
      </c>
      <c r="C1541" s="68" t="inlineStr">
        <is>
          <t>가구 내 고용활동</t>
        </is>
      </c>
      <c r="D1541" s="68" t="inlineStr">
        <is>
          <t>가구 내 고용활동</t>
        </is>
      </c>
      <c r="E1541" s="68" t="inlineStr">
        <is>
          <t>가구 내 고용활동</t>
        </is>
      </c>
      <c r="F1541" s="68" t="inlineStr">
        <is>
          <t>◦요리사, 가정부, 세탁부, 보모, 유모, 개인 비서, 집사, 운전사, 정원 관리원, 가정교사 등을 고용한 가구의 활동을 말한다.
&lt;제 외&gt;
·인력을 공급, 감독하는 사업체(749101, 749102)
·가구에 고용되지 않고 가사 서비스를 제공하는 개인 또는 경영단위는 그 주된 활동 내용에 따라 분류</t>
        </is>
      </c>
      <c r="G1541" s="90" t="n">
        <v>79.7</v>
      </c>
      <c r="H1541" s="90" t="n">
        <v>0</v>
      </c>
      <c r="I1541" s="90" t="n">
        <v>25</v>
      </c>
    </row>
    <row r="1542">
      <c r="A1542" s="65" t="inlineStr">
        <is>
          <t>950002</t>
        </is>
      </c>
      <c r="B1542" s="68" t="inlineStr">
        <is>
          <t>보건업 및 사회복지 서비스업</t>
        </is>
      </c>
      <c r="C1542" s="68" t="inlineStr">
        <is>
          <t>사회복지 서비스업</t>
        </is>
      </c>
      <c r="D1542" s="68" t="inlineStr">
        <is>
          <t>보육시설 운영업</t>
        </is>
      </c>
      <c r="E1542" s="68" t="inlineStr">
        <is>
          <t>보육시설 운영업</t>
        </is>
      </c>
      <c r="F1542" s="68" t="inlineStr">
        <is>
          <t>◦보호자로부터 위탁을 받아 유아 및 취학 전 어린이를 보육하는 산업활동을 말한다.(「영유아보육법」 제13조에 따라 설치 및 인가된 경우 제외)
&lt;예 시&gt;
·놀이방
·직장 보육시설
·탁아시설
&lt;제 외&gt;
·아동 교육기관(851100)
*유아 및 취학 전 어린이 보육(인가된 경우)(→872100)</t>
        </is>
      </c>
      <c r="G1542" s="90" t="n">
        <v>86.59999999999999</v>
      </c>
      <c r="H1542" s="90" t="n">
        <v>0</v>
      </c>
      <c r="I1542" s="90" t="n">
        <v>17.5</v>
      </c>
    </row>
  </sheetData>
  <pageMargins left="0.7" right="0.7" top="0.75" bottom="0.75" header="0.3" footer="0.3"/>
</worksheet>
</file>

<file path=xl/worksheets/sheet3.xml><?xml version="1.0" encoding="utf-8"?>
<worksheet xmlns="http://schemas.openxmlformats.org/spreadsheetml/2006/main">
  <sheetPr>
    <tabColor rgb="FFFF0000"/>
    <outlinePr summaryBelow="1" summaryRight="1"/>
    <pageSetUpPr fitToPage="1"/>
  </sheetPr>
  <dimension ref="A1:M63"/>
  <sheetViews>
    <sheetView tabSelected="1" topLeftCell="A13" workbookViewId="0">
      <selection activeCell="H47" sqref="H47"/>
    </sheetView>
  </sheetViews>
  <sheetFormatPr baseColWidth="8" defaultRowHeight="16.5"/>
  <cols>
    <col width="16.875" customWidth="1" style="2" min="1" max="1"/>
    <col width="14.75" customWidth="1" style="2" min="2" max="3"/>
    <col width="16.875" customWidth="1" style="2" min="4" max="4"/>
    <col width="15.375" customWidth="1" style="2" min="5" max="7"/>
    <col width="15.75" customWidth="1" style="2" min="8" max="8"/>
    <col hidden="1" width="13" customWidth="1" style="66" min="10" max="10"/>
    <col hidden="1" width="12.25" customWidth="1" style="66" min="11" max="11"/>
    <col hidden="1" width="10.625" customWidth="1" style="66" min="12" max="12"/>
    <col hidden="1" width="9" customWidth="1" style="66" min="13" max="13"/>
    <col width="9" customWidth="1" style="66" min="14" max="23"/>
  </cols>
  <sheetData>
    <row r="1">
      <c r="B1" s="16" t="inlineStr">
        <is>
          <t>노랑셀만입력</t>
        </is>
      </c>
      <c r="F1" s="17" t="inlineStr">
        <is>
          <t>검정셀은수식</t>
        </is>
      </c>
      <c r="G1" s="17" t="n"/>
      <c r="H1" s="15" t="inlineStr">
        <is>
          <t>입력하지마시오</t>
        </is>
      </c>
    </row>
    <row r="2">
      <c r="A2" s="1" t="inlineStr">
        <is>
          <t>확인사항</t>
        </is>
      </c>
      <c r="B2" s="12" t="n"/>
      <c r="C2" s="1" t="inlineStr">
        <is>
          <t>기장의무</t>
        </is>
      </c>
      <c r="D2" s="1" t="inlineStr">
        <is>
          <t>유형체크</t>
        </is>
      </c>
      <c r="E2" s="1" t="inlineStr">
        <is>
          <t>금액</t>
        </is>
      </c>
      <c r="F2" s="1" t="inlineStr">
        <is>
          <t>업종코드</t>
        </is>
      </c>
      <c r="G2" s="1" t="n"/>
      <c r="H2" s="1" t="inlineStr">
        <is>
          <t>체크!!!</t>
        </is>
      </c>
    </row>
    <row r="3">
      <c r="A3" s="3" t="inlineStr">
        <is>
          <t>장부유형확인</t>
        </is>
      </c>
      <c r="B3" s="3" t="n"/>
      <c r="C3" s="3" t="inlineStr">
        <is>
          <t>복식부기의무자</t>
        </is>
      </c>
      <c r="D3" s="3" t="n"/>
      <c r="E3" s="3" t="n"/>
      <c r="F3" s="3" t="n"/>
      <c r="G3" s="3" t="n"/>
      <c r="H3" s="3">
        <f>IF(D3="해당","세무사보고","Pass")</f>
        <v/>
      </c>
    </row>
    <row r="4">
      <c r="A4" s="91" t="n"/>
      <c r="B4" s="3" t="n"/>
      <c r="C4" s="3" t="inlineStr">
        <is>
          <t>복식i(사전성실)</t>
        </is>
      </c>
      <c r="D4" s="3" t="n"/>
      <c r="E4" s="3" t="n"/>
      <c r="F4" s="3" t="n"/>
      <c r="G4" s="3" t="n"/>
      <c r="H4" s="3">
        <f>IF(D4="해당","세무사보고","Pass")</f>
        <v/>
      </c>
    </row>
    <row r="5">
      <c r="A5" s="91" t="n"/>
      <c r="B5" s="3" t="inlineStr">
        <is>
          <t>6000이상</t>
        </is>
      </c>
      <c r="C5" s="3" t="inlineStr">
        <is>
          <t>간장복식</t>
        </is>
      </c>
      <c r="D5" s="3" t="inlineStr">
        <is>
          <t>N/A</t>
        </is>
      </c>
      <c r="E5" s="3" t="n"/>
      <c r="F5" s="3" t="n"/>
      <c r="G5" s="3" t="n"/>
      <c r="H5" s="3">
        <f>IF(D5="해당","세무사보고","Pass")</f>
        <v/>
      </c>
    </row>
    <row r="6">
      <c r="A6" s="91" t="n"/>
      <c r="B6" s="3" t="n"/>
      <c r="C6" s="3" t="inlineStr">
        <is>
          <t>간편장부대상자</t>
        </is>
      </c>
      <c r="D6" s="3" t="inlineStr">
        <is>
          <t>해당</t>
        </is>
      </c>
      <c r="E6" s="3" t="n"/>
      <c r="F6" s="3" t="n"/>
      <c r="G6" s="3" t="n"/>
      <c r="H6" s="3">
        <f>IF(D6="해당","세무사보고","Pass")</f>
        <v/>
      </c>
    </row>
    <row r="7">
      <c r="A7" s="91" t="n"/>
      <c r="B7" s="3" t="n"/>
      <c r="C7" s="3" t="inlineStr">
        <is>
          <t>간편i(사전성실)</t>
        </is>
      </c>
      <c r="D7" s="3" t="n"/>
      <c r="E7" s="3" t="n"/>
      <c r="F7" s="3" t="n"/>
      <c r="G7" s="3" t="n"/>
      <c r="H7" s="3">
        <f>IF(D7="해당","세무사보고","Pass")</f>
        <v/>
      </c>
    </row>
    <row r="8">
      <c r="A8" s="91" t="n"/>
      <c r="B8" s="3" t="n"/>
      <c r="C8" s="3" t="inlineStr">
        <is>
          <t>E유형</t>
        </is>
      </c>
      <c r="D8" s="3" t="n"/>
      <c r="E8" s="3" t="n"/>
      <c r="F8" s="3" t="n"/>
      <c r="G8" s="3" t="n"/>
      <c r="H8" s="3">
        <f>IF(D8="해당","세무사보고","Pass")</f>
        <v/>
      </c>
    </row>
    <row r="9">
      <c r="A9" s="92" t="n"/>
      <c r="B9" s="3" t="n"/>
      <c r="C9" s="3" t="inlineStr">
        <is>
          <t>단순율(G등)</t>
        </is>
      </c>
      <c r="D9" s="3" t="n"/>
      <c r="E9" s="3" t="n"/>
      <c r="F9" s="3" t="n"/>
      <c r="G9" s="3" t="n"/>
      <c r="H9" s="3">
        <f>IF(D9="해당","세무사보고","Pass")</f>
        <v/>
      </c>
    </row>
    <row r="10">
      <c r="A10" s="3" t="inlineStr">
        <is>
          <t>소득종류확인</t>
        </is>
      </c>
      <c r="B10" s="3" t="inlineStr">
        <is>
          <t>사업</t>
        </is>
      </c>
      <c r="C10" s="3" t="inlineStr">
        <is>
          <t>사업자등록</t>
        </is>
      </c>
      <c r="D10" s="3" t="n"/>
      <c r="E10" s="93" t="n"/>
      <c r="F10" s="3" t="n"/>
      <c r="G10" s="3" t="n"/>
      <c r="H10" s="3">
        <f>IF(D10="해당","부가세출력","Pass")</f>
        <v/>
      </c>
    </row>
    <row r="11">
      <c r="A11" s="91" t="n"/>
      <c r="B11" s="3" t="inlineStr">
        <is>
          <t>사업</t>
        </is>
      </c>
      <c r="C11" s="3" t="inlineStr">
        <is>
          <t>프리랜서</t>
        </is>
      </c>
      <c r="D11" s="3" t="inlineStr">
        <is>
          <t>해당</t>
        </is>
      </c>
      <c r="E11" s="94" t="n"/>
      <c r="F11" s="26" t="n"/>
      <c r="G11" s="27">
        <f>VLOOKUP(F11,업종코드!$A$1:$I$1542,6,FALSE)</f>
        <v/>
      </c>
      <c r="H11" s="3">
        <f>IF(D11="해당","Pass","Pass")</f>
        <v/>
      </c>
      <c r="J11" s="18" t="inlineStr">
        <is>
          <t>수입금액</t>
        </is>
      </c>
      <c r="K11" s="18" t="inlineStr">
        <is>
          <t>적정소득율</t>
        </is>
      </c>
      <c r="L11" s="18" t="inlineStr">
        <is>
          <t>수임동의</t>
        </is>
      </c>
      <c r="M11" s="18" t="inlineStr">
        <is>
          <t>접수방법</t>
        </is>
      </c>
    </row>
    <row r="12">
      <c r="A12" s="91" t="n"/>
      <c r="B12" s="3" t="inlineStr">
        <is>
          <t>근로</t>
        </is>
      </c>
      <c r="C12" s="3" t="n"/>
      <c r="D12" s="3" t="inlineStr">
        <is>
          <t>N/A</t>
        </is>
      </c>
      <c r="E12" s="93" t="n">
        <v>17475420</v>
      </c>
      <c r="F12" s="3" t="n"/>
      <c r="G12" s="3" t="n"/>
      <c r="H12" s="3">
        <f>IF(D12="해당","세무사보고","Pass")</f>
        <v/>
      </c>
      <c r="J12" s="71" t="n"/>
      <c r="K12" s="72" t="n"/>
      <c r="L12" s="10" t="inlineStr">
        <is>
          <t>동의</t>
        </is>
      </c>
      <c r="M12" s="10" t="inlineStr">
        <is>
          <t>홈택스</t>
        </is>
      </c>
    </row>
    <row r="13">
      <c r="A13" s="91" t="n"/>
      <c r="B13" s="3" t="inlineStr">
        <is>
          <t>연금</t>
        </is>
      </c>
      <c r="C13" s="3" t="n"/>
      <c r="D13" s="3" t="n"/>
      <c r="E13" s="93" t="n"/>
      <c r="F13" s="3" t="n"/>
      <c r="G13" s="3" t="n"/>
      <c r="H13" s="3">
        <f>IF(D13="해당","세무사보고","Pass")</f>
        <v/>
      </c>
      <c r="J13" s="95" t="n"/>
      <c r="K13" s="72" t="n"/>
      <c r="L13" s="10" t="inlineStr">
        <is>
          <t>동의</t>
        </is>
      </c>
      <c r="M13" s="10" t="inlineStr">
        <is>
          <t>홈택스</t>
        </is>
      </c>
    </row>
    <row r="14">
      <c r="A14" s="91" t="n"/>
      <c r="B14" s="3" t="inlineStr">
        <is>
          <t>기타</t>
        </is>
      </c>
      <c r="C14" s="3" t="n"/>
      <c r="D14" s="3" t="inlineStr">
        <is>
          <t>N/A</t>
        </is>
      </c>
      <c r="E14" s="93" t="n">
        <v>0</v>
      </c>
      <c r="F14" s="3" t="n"/>
      <c r="G14" s="3" t="n"/>
      <c r="H14" s="3">
        <f>IF(D14="해당","세무사보고","Pass")</f>
        <v/>
      </c>
      <c r="J14" s="96" t="n"/>
      <c r="K14" s="72" t="n"/>
      <c r="L14" s="10" t="n"/>
      <c r="M14" s="10" t="n"/>
    </row>
    <row r="15">
      <c r="A15" s="91" t="n"/>
      <c r="B15" s="3" t="inlineStr">
        <is>
          <t>금융</t>
        </is>
      </c>
      <c r="C15" s="3" t="n"/>
      <c r="D15" s="3" t="n"/>
      <c r="E15" s="93" t="n"/>
      <c r="F15" s="3" t="n"/>
      <c r="G15" s="3" t="n"/>
      <c r="H15" s="3">
        <f>IF(D15="해당","세무사보고","Pass")</f>
        <v/>
      </c>
      <c r="J15" s="96" t="n"/>
      <c r="K15" s="72" t="n"/>
      <c r="L15" s="10" t="n"/>
      <c r="M15" s="10" t="n"/>
    </row>
    <row r="16">
      <c r="A16" s="92" t="n"/>
      <c r="B16" s="3" t="inlineStr">
        <is>
          <t>주택임대</t>
        </is>
      </c>
      <c r="C16" s="3" t="n"/>
      <c r="D16" s="3" t="n"/>
      <c r="E16" s="93" t="n">
        <v>0</v>
      </c>
      <c r="F16" s="3" t="n"/>
      <c r="G16" s="3" t="n"/>
      <c r="H16" s="3">
        <f>IF(D16="해당","세무사보고","Pass")</f>
        <v/>
      </c>
      <c r="J16" s="97" t="n">
        <v>50000000</v>
      </c>
      <c r="K16" s="63" t="n">
        <v>0.3247</v>
      </c>
      <c r="L16" s="10" t="inlineStr">
        <is>
          <t>동의</t>
        </is>
      </c>
      <c r="M16" s="10" t="inlineStr">
        <is>
          <t>홈택스</t>
        </is>
      </c>
    </row>
    <row r="17">
      <c r="A17" s="1" t="inlineStr">
        <is>
          <t>수입금액(사업자)</t>
        </is>
      </c>
      <c r="B17" s="3" t="n"/>
      <c r="C17" s="98">
        <f>E10</f>
        <v/>
      </c>
      <c r="D17" s="1" t="inlineStr">
        <is>
          <t>수입금액(프리)</t>
        </is>
      </c>
      <c r="E17" s="3" t="n"/>
      <c r="F17" s="98">
        <f>E11</f>
        <v/>
      </c>
      <c r="G17" s="98" t="n"/>
      <c r="H17" s="3">
        <f>IF(D17="해당","세무사보고","Pass")</f>
        <v/>
      </c>
      <c r="J17" s="97" t="n">
        <v>60000000</v>
      </c>
      <c r="K17" s="63" t="n">
        <v>0.3319</v>
      </c>
      <c r="L17" s="10" t="n"/>
      <c r="M17" s="10" t="n"/>
    </row>
    <row r="18">
      <c r="A18" s="1" t="inlineStr">
        <is>
          <t>제출자료경비</t>
        </is>
      </c>
      <c r="B18" s="3" t="n"/>
      <c r="C18" s="98">
        <f>C19+C20</f>
        <v/>
      </c>
      <c r="D18" s="1" t="inlineStr">
        <is>
          <t>필요경비</t>
        </is>
      </c>
      <c r="E18" s="3" t="n"/>
      <c r="F18" s="98">
        <f>F19+F20</f>
        <v/>
      </c>
      <c r="G18" s="98" t="n"/>
      <c r="H18" s="3" t="n"/>
      <c r="J18" s="97" t="n">
        <v>65000000</v>
      </c>
      <c r="K18" s="63" t="n">
        <v>0.3814</v>
      </c>
      <c r="L18" s="10" t="n"/>
      <c r="M18" s="10" t="n"/>
    </row>
    <row r="19">
      <c r="A19" s="3" t="n"/>
      <c r="B19" s="1" t="inlineStr">
        <is>
          <t>신용카드</t>
        </is>
      </c>
      <c r="C19" s="99" t="n"/>
      <c r="D19" s="3" t="n"/>
      <c r="E19" s="1" t="inlineStr">
        <is>
          <t>신용카드</t>
        </is>
      </c>
      <c r="F19" s="99" t="n"/>
      <c r="G19" s="99" t="n"/>
      <c r="H19" s="3" t="n"/>
      <c r="J19" s="97" t="n">
        <v>75000000</v>
      </c>
      <c r="K19" s="63" t="n">
        <v>0.4251</v>
      </c>
      <c r="L19" s="10" t="n"/>
      <c r="M19" s="10" t="n"/>
    </row>
    <row r="20">
      <c r="A20" s="3" t="n"/>
      <c r="B20" s="1" t="inlineStr">
        <is>
          <t>기타비용</t>
        </is>
      </c>
      <c r="C20" s="99" t="n"/>
      <c r="D20" s="3" t="n"/>
      <c r="E20" s="1" t="inlineStr">
        <is>
          <t>기타비용</t>
        </is>
      </c>
      <c r="F20" s="99" t="n"/>
      <c r="G20" s="99" t="n"/>
      <c r="H20" s="3" t="n"/>
      <c r="J20" s="97" t="n">
        <v>100000000</v>
      </c>
      <c r="K20" s="63" t="n">
        <v>0.4889</v>
      </c>
      <c r="L20" s="10" t="n"/>
      <c r="M20" s="10" t="n"/>
    </row>
    <row r="21">
      <c r="A21" s="3" t="inlineStr">
        <is>
          <t>실질INCOME</t>
        </is>
      </c>
      <c r="B21" s="3" t="n"/>
      <c r="C21" s="98">
        <f>C17-C18</f>
        <v/>
      </c>
      <c r="D21" s="3" t="n"/>
      <c r="E21" s="3" t="n"/>
      <c r="F21" s="98">
        <f>F17-F18</f>
        <v/>
      </c>
      <c r="G21" s="98" t="n"/>
      <c r="H21" s="3" t="n"/>
      <c r="J21" s="97" t="n">
        <v>150000000</v>
      </c>
      <c r="K21" s="63" t="n">
        <v>0.5476</v>
      </c>
      <c r="L21" s="10" t="n"/>
      <c r="M21" s="10" t="n"/>
    </row>
    <row r="22">
      <c r="A22" s="3" t="inlineStr">
        <is>
          <t>GAP</t>
        </is>
      </c>
      <c r="B22" s="3" t="n"/>
      <c r="C22" s="98" t="n"/>
      <c r="D22" s="3" t="n"/>
      <c r="E22" s="3" t="n"/>
      <c r="F22" s="98">
        <f>F21-F23</f>
        <v/>
      </c>
      <c r="G22" s="98" t="n"/>
      <c r="H22" s="3">
        <f>IF(F22&gt;=50000000,"세무사보고","Pass")</f>
        <v/>
      </c>
      <c r="J22" s="97" t="n">
        <v>200000000</v>
      </c>
      <c r="K22" s="63" t="n">
        <v>0.5836</v>
      </c>
      <c r="L22" s="10" t="n"/>
      <c r="M22" s="10" t="n"/>
    </row>
    <row r="23">
      <c r="A23" s="5" t="inlineStr">
        <is>
          <t>target소득금액</t>
        </is>
      </c>
      <c r="B23" s="5" t="n"/>
      <c r="C23" s="98" t="n"/>
      <c r="D23" s="5" t="inlineStr">
        <is>
          <t>소득율</t>
        </is>
      </c>
      <c r="E23" s="5" t="n"/>
      <c r="F23" s="98">
        <f>F17*E27</f>
        <v/>
      </c>
      <c r="G23" s="98" t="n"/>
      <c r="H23" s="3">
        <f>IF(F23&gt;=50000000,"세무사보고","Pass")</f>
        <v/>
      </c>
      <c r="J23" s="97" t="n"/>
      <c r="K23" s="21" t="n"/>
      <c r="L23" s="10" t="n"/>
      <c r="M23" s="10" t="n"/>
    </row>
    <row r="24">
      <c r="A24" s="3" t="inlineStr">
        <is>
          <t>업종단순율</t>
        </is>
      </c>
      <c r="B24" s="3" t="n"/>
      <c r="C24" s="93" t="n"/>
      <c r="D24" s="3" t="n"/>
      <c r="E24" s="3">
        <f>VLOOKUP(F11,업종코드!$A$1:$I$1532,7,FALSE)</f>
        <v/>
      </c>
      <c r="F24" s="93" t="n"/>
      <c r="G24" s="93" t="n"/>
      <c r="H24" s="3" t="n"/>
    </row>
    <row r="25">
      <c r="A25" s="3" t="inlineStr">
        <is>
          <t>업종소득율</t>
        </is>
      </c>
      <c r="B25" s="3" t="n"/>
      <c r="C25" s="93" t="n"/>
      <c r="D25" s="3" t="n"/>
      <c r="E25" s="3">
        <f>1-E24*0.01</f>
        <v/>
      </c>
      <c r="F25" s="93" t="n"/>
      <c r="G25" s="93" t="n"/>
      <c r="H25" s="3" t="n"/>
    </row>
    <row r="26">
      <c r="A26" s="3" t="inlineStr">
        <is>
          <t>수입구간별</t>
        </is>
      </c>
      <c r="B26" s="3" t="n"/>
      <c r="C26" s="93" t="n"/>
      <c r="D26" s="3" t="n"/>
      <c r="E26" s="3">
        <f>VLOOKUP(E11,$J$11:$K$22,2,TRUE)</f>
        <v/>
      </c>
      <c r="F26" s="93" t="n"/>
      <c r="G26" s="93" t="n"/>
      <c r="H26" s="3" t="n"/>
    </row>
    <row r="27">
      <c r="A27" s="3" t="inlineStr">
        <is>
          <t>적용</t>
        </is>
      </c>
      <c r="B27" s="3" t="n"/>
      <c r="C27" s="93" t="n"/>
      <c r="D27" s="3" t="n"/>
      <c r="E27" s="3">
        <f>IF(E11&lt;50000000,MIN(E25,E26),MAX(E25,E26))</f>
        <v/>
      </c>
      <c r="F27" s="93" t="n"/>
      <c r="G27" s="93" t="n"/>
      <c r="H27" s="3" t="n"/>
    </row>
    <row r="28">
      <c r="A28" s="5" t="inlineStr">
        <is>
          <t>필요경비</t>
        </is>
      </c>
      <c r="B28" s="5" t="n"/>
      <c r="C28" s="98">
        <f>C17-C23</f>
        <v/>
      </c>
      <c r="D28" s="5" t="inlineStr">
        <is>
          <t>필요경비</t>
        </is>
      </c>
      <c r="E28" s="5" t="n"/>
      <c r="F28" s="98">
        <f>F17-F23</f>
        <v/>
      </c>
      <c r="G28" s="98" t="n"/>
      <c r="H28" s="3" t="n"/>
    </row>
    <row r="29">
      <c r="A29" s="7" t="inlineStr">
        <is>
          <t>당기매입</t>
        </is>
      </c>
      <c r="B29" s="3" t="n"/>
      <c r="C29" s="99" t="n"/>
      <c r="D29" s="3" t="n"/>
      <c r="E29" s="3" t="n"/>
      <c r="F29" s="99" t="n"/>
      <c r="G29" s="99" t="n"/>
      <c r="H29" s="3">
        <f>IF(F29&gt;=120000000,"Error","Pass")</f>
        <v/>
      </c>
    </row>
    <row r="30">
      <c r="A30" s="28" t="inlineStr">
        <is>
          <t>급여</t>
        </is>
      </c>
      <c r="B30" s="28" t="n"/>
      <c r="C30" s="100" t="n"/>
      <c r="D30" s="28" t="inlineStr">
        <is>
          <t>급여</t>
        </is>
      </c>
      <c r="E30" s="3" t="n"/>
      <c r="F30" s="93" t="n"/>
      <c r="G30" s="99" t="n"/>
      <c r="H30" s="3">
        <f>IF(F30&gt;=120000000,"Error","Pass")</f>
        <v/>
      </c>
      <c r="J30" s="0" t="n">
        <v>8894112</v>
      </c>
      <c r="K30" s="0" t="n">
        <v>7917014</v>
      </c>
      <c r="L30" s="0" t="n">
        <v>16366295</v>
      </c>
    </row>
    <row r="31">
      <c r="A31" s="7" t="inlineStr">
        <is>
          <t>제세공과금</t>
        </is>
      </c>
      <c r="B31" s="3" t="n"/>
      <c r="C31" s="99" t="n"/>
      <c r="D31" s="7" t="inlineStr">
        <is>
          <t>제세공과금</t>
        </is>
      </c>
      <c r="E31" s="3" t="n"/>
      <c r="F31" s="99" t="n"/>
      <c r="G31" s="99" t="n"/>
      <c r="H31" s="3" t="n"/>
      <c r="J31" s="0" t="n">
        <v>37570000</v>
      </c>
      <c r="K31" s="0" t="n">
        <v>36500000</v>
      </c>
      <c r="L31" s="0" t="n">
        <v>71686398</v>
      </c>
    </row>
    <row r="32">
      <c r="A32" s="8" t="inlineStr">
        <is>
          <t>급여</t>
        </is>
      </c>
      <c r="B32" s="8" t="n"/>
      <c r="C32" s="101" t="n"/>
      <c r="D32" s="8" t="inlineStr">
        <is>
          <t>급여</t>
        </is>
      </c>
      <c r="E32" s="3" t="n"/>
      <c r="F32" s="93" t="n"/>
      <c r="G32" s="99" t="n"/>
      <c r="H32" s="3" t="n"/>
      <c r="J32" s="0">
        <f>J30/J31</f>
        <v/>
      </c>
      <c r="K32" s="0">
        <f>K30/K31</f>
        <v/>
      </c>
      <c r="L32" s="0">
        <f>L30/L31</f>
        <v/>
      </c>
    </row>
    <row r="33">
      <c r="A33" s="7" t="inlineStr">
        <is>
          <t>제세공과금</t>
        </is>
      </c>
      <c r="B33" s="3" t="n"/>
      <c r="C33" s="99" t="n"/>
      <c r="D33" s="7" t="inlineStr">
        <is>
          <t>제세공과금</t>
        </is>
      </c>
      <c r="E33" s="3" t="n"/>
      <c r="F33" s="99" t="n"/>
      <c r="G33" s="99" t="n"/>
      <c r="H33" s="3" t="n"/>
    </row>
    <row r="34">
      <c r="A34" s="8" t="inlineStr">
        <is>
          <t>임차료</t>
        </is>
      </c>
      <c r="B34" s="8" t="n"/>
      <c r="C34" s="101" t="n"/>
      <c r="D34" s="8" t="inlineStr">
        <is>
          <t>임차료</t>
        </is>
      </c>
      <c r="E34" s="3" t="n"/>
      <c r="F34" s="93" t="n"/>
      <c r="G34" s="99" t="n"/>
      <c r="H34" s="3" t="n"/>
    </row>
    <row r="35">
      <c r="A35" s="8" t="inlineStr">
        <is>
          <t>지급이자</t>
        </is>
      </c>
      <c r="B35" s="8" t="n"/>
      <c r="C35" s="102" t="n"/>
      <c r="D35" s="8" t="inlineStr">
        <is>
          <t>지급이자</t>
        </is>
      </c>
      <c r="E35" s="3" t="n"/>
      <c r="F35" s="99" t="n"/>
      <c r="G35" s="99" t="n"/>
      <c r="H35" s="3" t="n"/>
    </row>
    <row r="36">
      <c r="A36" s="7" t="inlineStr">
        <is>
          <t>접대비</t>
        </is>
      </c>
      <c r="B36" s="3" t="n"/>
      <c r="C36" s="99" t="n"/>
      <c r="D36" s="7" t="inlineStr">
        <is>
          <t>접대비</t>
        </is>
      </c>
      <c r="E36" s="3" t="n"/>
      <c r="F36" s="103" t="n"/>
      <c r="G36" s="99" t="n"/>
      <c r="H36" s="7">
        <f>IF(F36&gt;=120000000,"Error","Pass")</f>
        <v/>
      </c>
    </row>
    <row r="37">
      <c r="A37" s="3" t="inlineStr">
        <is>
          <t>기부금</t>
        </is>
      </c>
      <c r="B37" s="3" t="n"/>
      <c r="C37" s="99" t="n"/>
      <c r="D37" s="3" t="inlineStr">
        <is>
          <t>기부금</t>
        </is>
      </c>
      <c r="E37" s="3" t="n"/>
      <c r="F37" s="99" t="n"/>
      <c r="G37" s="99" t="n"/>
      <c r="H37" s="3" t="n"/>
    </row>
    <row r="38">
      <c r="A38" s="8" t="inlineStr">
        <is>
          <t>감가상각비</t>
        </is>
      </c>
      <c r="B38" s="8" t="n"/>
      <c r="C38" s="101" t="n"/>
      <c r="D38" s="8" t="inlineStr">
        <is>
          <t>감가상각비</t>
        </is>
      </c>
      <c r="E38" s="3" t="n"/>
      <c r="F38" s="93" t="n"/>
      <c r="G38" s="99" t="n"/>
      <c r="H38" s="7">
        <f>IF(F38&gt;0,"차량확인","Pass")</f>
        <v/>
      </c>
    </row>
    <row r="39">
      <c r="A39" s="8" t="inlineStr">
        <is>
          <t>차량유지비</t>
        </is>
      </c>
      <c r="B39" s="8" t="n"/>
      <c r="C39" s="101" t="n"/>
      <c r="D39" s="8" t="inlineStr">
        <is>
          <t>차량유지비</t>
        </is>
      </c>
      <c r="E39" s="3" t="n"/>
      <c r="F39" s="93" t="n"/>
      <c r="G39" s="99" t="n"/>
      <c r="H39" s="7">
        <f>IF(F39&gt;0,"차량확인","Pass")</f>
        <v/>
      </c>
    </row>
    <row r="40">
      <c r="A40" s="7" t="inlineStr">
        <is>
          <t>지급수수료</t>
        </is>
      </c>
      <c r="B40" s="3" t="n"/>
      <c r="C40" s="99" t="n"/>
      <c r="D40" s="7" t="inlineStr">
        <is>
          <t>지급수수료</t>
        </is>
      </c>
      <c r="E40" s="3" t="n"/>
      <c r="F40" s="103" t="n"/>
      <c r="G40" s="103" t="n"/>
      <c r="H40" s="3" t="n"/>
    </row>
    <row r="41">
      <c r="A41" s="7" t="inlineStr">
        <is>
          <t>소모품비</t>
        </is>
      </c>
      <c r="B41" s="3" t="n"/>
      <c r="C41" s="99" t="n"/>
      <c r="D41" s="7" t="inlineStr">
        <is>
          <t>소모품비</t>
        </is>
      </c>
      <c r="E41" s="3" t="n"/>
      <c r="F41" s="99" t="n"/>
      <c r="G41" s="99" t="n"/>
      <c r="H41" s="3" t="n"/>
    </row>
    <row r="42">
      <c r="A42" s="8" t="inlineStr">
        <is>
          <t>복리후생비</t>
        </is>
      </c>
      <c r="B42" s="8" t="n"/>
      <c r="C42" s="101" t="n"/>
      <c r="D42" s="8" t="inlineStr">
        <is>
          <t>복리후생비</t>
        </is>
      </c>
      <c r="E42" s="3" t="n"/>
      <c r="F42" s="93" t="n"/>
      <c r="G42" s="99" t="n"/>
      <c r="H42" s="3" t="n"/>
    </row>
    <row r="43">
      <c r="A43" s="3" t="inlineStr">
        <is>
          <t>운반비</t>
        </is>
      </c>
      <c r="B43" s="3" t="n"/>
      <c r="C43" s="99" t="n"/>
      <c r="D43" s="7" t="inlineStr">
        <is>
          <t>운반비</t>
        </is>
      </c>
      <c r="E43" s="3" t="n"/>
      <c r="F43" s="103" t="n"/>
      <c r="G43" s="99" t="n"/>
      <c r="H43" s="3" t="n"/>
    </row>
    <row r="44">
      <c r="A44" s="7" t="inlineStr">
        <is>
          <t>광고선전비</t>
        </is>
      </c>
      <c r="B44" s="3" t="n"/>
      <c r="C44" s="99" t="n"/>
      <c r="D44" s="7" t="inlineStr">
        <is>
          <t>광고선전비</t>
        </is>
      </c>
      <c r="E44" s="3" t="n"/>
      <c r="F44" s="103" t="n"/>
      <c r="G44" s="103" t="n"/>
      <c r="H44" s="3" t="n"/>
    </row>
    <row r="45">
      <c r="A45" s="7" t="inlineStr">
        <is>
          <t>여비교통비</t>
        </is>
      </c>
      <c r="B45" s="3" t="n"/>
      <c r="C45" s="99" t="n"/>
      <c r="D45" s="7" t="inlineStr">
        <is>
          <t>여비교통비</t>
        </is>
      </c>
      <c r="E45" s="3" t="n"/>
      <c r="F45" s="99" t="n"/>
      <c r="G45" s="99" t="n"/>
      <c r="H45" s="3" t="n"/>
    </row>
    <row r="46">
      <c r="A46" s="7" t="inlineStr">
        <is>
          <t>기타</t>
        </is>
      </c>
      <c r="B46" s="3" t="n"/>
      <c r="C46" s="99" t="n"/>
      <c r="D46" s="7" t="inlineStr">
        <is>
          <t>기타</t>
        </is>
      </c>
      <c r="E46" s="3" t="n"/>
      <c r="F46" s="103" t="n"/>
      <c r="G46" s="103" t="n"/>
      <c r="H46" s="3" t="n"/>
    </row>
    <row r="47">
      <c r="A47" s="5" t="inlineStr">
        <is>
          <t>합계</t>
        </is>
      </c>
      <c r="B47" s="5" t="n"/>
      <c r="C47" s="98">
        <f>SUM(C29:C46)</f>
        <v/>
      </c>
      <c r="D47" s="5" t="inlineStr">
        <is>
          <t>합계</t>
        </is>
      </c>
      <c r="E47" s="5" t="n"/>
      <c r="F47" s="98">
        <f>SUM(F29:F46)</f>
        <v/>
      </c>
      <c r="G47" s="98">
        <f>F21-F47</f>
        <v/>
      </c>
      <c r="H47" s="104">
        <f>G47/F21</f>
        <v/>
      </c>
    </row>
    <row r="48">
      <c r="A48" s="54" t="inlineStr">
        <is>
          <t>경비부족액</t>
        </is>
      </c>
      <c r="B48" s="54" t="n"/>
      <c r="C48" s="105">
        <f>C28-C47</f>
        <v/>
      </c>
      <c r="D48" s="54" t="inlineStr">
        <is>
          <t>잔액</t>
        </is>
      </c>
      <c r="E48" s="54" t="n"/>
      <c r="F48" s="105">
        <f>F28-F47</f>
        <v/>
      </c>
      <c r="G48" s="106" t="n"/>
      <c r="H48" s="3" t="n"/>
    </row>
    <row r="49">
      <c r="A49" s="3" t="inlineStr">
        <is>
          <t>소득금액</t>
        </is>
      </c>
      <c r="B49" s="3" t="n"/>
      <c r="C49" s="107">
        <f>C23+F23</f>
        <v/>
      </c>
      <c r="D49" s="3" t="n"/>
      <c r="E49" s="3" t="n"/>
      <c r="F49" s="3" t="n"/>
      <c r="G49" s="3" t="n"/>
      <c r="H49" s="3" t="n"/>
    </row>
    <row r="50">
      <c r="A50" s="3" t="inlineStr">
        <is>
          <t>소득공제</t>
        </is>
      </c>
      <c r="B50" s="3" t="n"/>
      <c r="C50" s="3" t="n"/>
      <c r="D50" s="3" t="n"/>
      <c r="E50" s="3" t="n"/>
      <c r="F50" s="3" t="n"/>
      <c r="G50" s="3" t="n"/>
      <c r="H50" s="3" t="n"/>
    </row>
    <row r="51">
      <c r="A51" s="3" t="n"/>
      <c r="B51" s="10" t="inlineStr">
        <is>
          <t>본인</t>
        </is>
      </c>
      <c r="C51" s="3" t="n"/>
      <c r="D51" s="3" t="n"/>
      <c r="E51" s="3" t="n"/>
      <c r="F51" s="3" t="n"/>
      <c r="G51" s="3" t="n"/>
      <c r="H51" s="3" t="n"/>
    </row>
    <row r="52">
      <c r="A52" s="3" t="n"/>
      <c r="B52" s="10" t="inlineStr">
        <is>
          <t>배우자</t>
        </is>
      </c>
      <c r="C52" s="3" t="n"/>
      <c r="D52" s="3" t="n"/>
      <c r="E52" s="3" t="n"/>
      <c r="F52" s="3" t="n"/>
      <c r="G52" s="3" t="n"/>
      <c r="H52" s="3" t="n"/>
    </row>
    <row r="53">
      <c r="A53" s="3" t="n"/>
      <c r="B53" s="10" t="inlineStr">
        <is>
          <t>자녀</t>
        </is>
      </c>
      <c r="C53" s="3" t="n"/>
      <c r="D53" s="3" t="n"/>
      <c r="E53" s="3" t="n"/>
      <c r="F53" s="3" t="n"/>
      <c r="G53" s="3" t="n"/>
      <c r="H53" s="3" t="n"/>
    </row>
    <row r="54">
      <c r="A54" s="3" t="n"/>
      <c r="B54" s="10" t="inlineStr">
        <is>
          <t>부모님</t>
        </is>
      </c>
      <c r="C54" s="3" t="n"/>
      <c r="D54" s="3" t="n"/>
      <c r="E54" s="3" t="n"/>
      <c r="F54" s="3" t="n"/>
      <c r="G54" s="3" t="n"/>
      <c r="H54" s="3" t="n"/>
    </row>
    <row r="55">
      <c r="A55" s="3" t="n"/>
      <c r="B55" s="10" t="inlineStr">
        <is>
          <t>형제자매</t>
        </is>
      </c>
      <c r="C55" s="3" t="n"/>
      <c r="D55" s="3" t="n"/>
      <c r="E55" s="3" t="n"/>
      <c r="F55" s="3" t="n"/>
      <c r="G55" s="3" t="n"/>
      <c r="H55" s="3" t="n"/>
    </row>
    <row r="56">
      <c r="A56" s="3" t="n"/>
      <c r="B56" s="10" t="inlineStr">
        <is>
          <t>경로우대자</t>
        </is>
      </c>
      <c r="C56" s="3" t="n"/>
      <c r="D56" s="3" t="n"/>
      <c r="E56" s="3" t="n"/>
      <c r="F56" s="3" t="n"/>
      <c r="G56" s="3" t="n"/>
      <c r="H56" s="3" t="n"/>
    </row>
    <row r="57">
      <c r="A57" s="3" t="n"/>
      <c r="B57" s="10" t="inlineStr">
        <is>
          <t>장애인</t>
        </is>
      </c>
      <c r="C57" s="3" t="n"/>
      <c r="D57" s="3" t="n"/>
      <c r="E57" s="3" t="n"/>
      <c r="F57" s="3" t="n"/>
      <c r="G57" s="3" t="n"/>
      <c r="H57" s="3" t="n"/>
    </row>
    <row r="58">
      <c r="A58" s="3" t="n"/>
      <c r="B58" s="10" t="inlineStr">
        <is>
          <t>부녀자</t>
        </is>
      </c>
      <c r="C58" s="3" t="n"/>
      <c r="D58" s="3" t="n"/>
      <c r="E58" s="3" t="n"/>
      <c r="F58" s="3" t="n"/>
      <c r="G58" s="3" t="n"/>
      <c r="H58" s="3" t="n"/>
    </row>
    <row r="59">
      <c r="A59" s="3" t="n"/>
      <c r="B59" s="10" t="inlineStr">
        <is>
          <t>한부모가정</t>
        </is>
      </c>
      <c r="C59" s="3" t="n"/>
      <c r="D59" s="3" t="n"/>
      <c r="E59" s="3" t="n"/>
      <c r="F59" s="3" t="n"/>
      <c r="G59" s="3" t="n"/>
      <c r="H59" s="3" t="n"/>
    </row>
    <row r="60">
      <c r="A60" s="3" t="n"/>
      <c r="B60" s="10" t="inlineStr">
        <is>
          <t>기타소득공제</t>
        </is>
      </c>
      <c r="C60" s="3" t="n"/>
      <c r="D60" s="3" t="n"/>
      <c r="E60" s="3" t="n"/>
      <c r="F60" s="3" t="n"/>
      <c r="G60" s="3" t="n"/>
      <c r="H60" s="3" t="n"/>
    </row>
    <row r="61">
      <c r="A61" s="3" t="inlineStr">
        <is>
          <t>세액공제</t>
        </is>
      </c>
      <c r="B61" s="3" t="n"/>
      <c r="C61" s="3" t="n"/>
      <c r="D61" s="3" t="n"/>
      <c r="E61" s="3" t="n"/>
      <c r="F61" s="3" t="n"/>
      <c r="G61" s="3" t="n"/>
      <c r="H61" s="3" t="n"/>
    </row>
    <row r="62">
      <c r="A62" s="3" t="n"/>
      <c r="B62" s="3" t="inlineStr">
        <is>
          <t>퇴직연금세액공제</t>
        </is>
      </c>
      <c r="C62" s="3" t="n"/>
      <c r="D62" s="3" t="n"/>
      <c r="E62" s="3" t="n"/>
      <c r="F62" s="3" t="n"/>
      <c r="G62" s="3" t="n"/>
      <c r="H62" s="3" t="n"/>
    </row>
    <row r="63">
      <c r="A63" s="3" t="n"/>
      <c r="B63" s="3" t="inlineStr">
        <is>
          <t>연금계좌세액공제</t>
        </is>
      </c>
      <c r="C63" s="3" t="n"/>
      <c r="D63" s="3" t="n"/>
      <c r="E63" s="3" t="n"/>
      <c r="F63" s="3" t="n"/>
      <c r="G63" s="3" t="n"/>
      <c r="H63" s="3" t="n"/>
    </row>
  </sheetData>
  <mergeCells count="2">
    <mergeCell ref="A3:A9"/>
    <mergeCell ref="A10:A16"/>
  </mergeCells>
  <conditionalFormatting sqref="D3:D16">
    <cfRule type="containsText" priority="12" operator="containsText" dxfId="0" text="해당">
      <formula>NOT(ISERROR(SEARCH("해당",D3)))</formula>
    </cfRule>
  </conditionalFormatting>
  <conditionalFormatting sqref="H3:H28 H32:H46">
    <cfRule type="containsText" priority="9" operator="containsText" dxfId="0" text="세무사보고">
      <formula>NOT(ISERROR(SEARCH("세무사보고",H3)))</formula>
    </cfRule>
  </conditionalFormatting>
  <conditionalFormatting sqref="H31">
    <cfRule type="containsText" priority="7" operator="containsText" dxfId="0" text="세무사보고">
      <formula>NOT(ISERROR(SEARCH("세무사보고",H31)))</formula>
    </cfRule>
  </conditionalFormatting>
  <conditionalFormatting sqref="H29">
    <cfRule type="containsText" priority="2" operator="containsText" dxfId="0" text="세무사보고">
      <formula>NOT(ISERROR(SEARCH("세무사보고",H29)))</formula>
    </cfRule>
  </conditionalFormatting>
  <conditionalFormatting sqref="H30">
    <cfRule type="containsText" priority="1" operator="containsText" dxfId="0" text="세무사보고">
      <formula>NOT(ISERROR(SEARCH("세무사보고",H30)))</formula>
    </cfRule>
  </conditionalFormatting>
  <pageMargins left="0" right="0" top="0" bottom="0" header="0" footer="0"/>
  <pageSetup orientation="portrait" paperSize="9" scale="73"/>
</worksheet>
</file>

<file path=xl/worksheets/sheet4.xml><?xml version="1.0" encoding="utf-8"?>
<worksheet xmlns="http://schemas.openxmlformats.org/spreadsheetml/2006/main">
  <sheetPr>
    <tabColor rgb="FF00B0F0"/>
    <outlinePr summaryBelow="1" summaryRight="1"/>
    <pageSetUpPr fitToPage="1"/>
  </sheetPr>
  <dimension ref="A1:R64"/>
  <sheetViews>
    <sheetView workbookViewId="0">
      <selection activeCell="B3" sqref="B3"/>
    </sheetView>
  </sheetViews>
  <sheetFormatPr baseColWidth="8" defaultRowHeight="16.5"/>
  <cols>
    <col width="16.875" customWidth="1" style="2" min="1" max="8"/>
    <col width="9" customWidth="1" style="66" min="9" max="9"/>
    <col hidden="1" width="12.75" customWidth="1" style="66" min="10" max="10"/>
    <col hidden="1" width="12.25" customWidth="1" style="66" min="11" max="11"/>
    <col hidden="1" width="10.625" customWidth="1" style="66" min="12" max="12"/>
    <col hidden="1" width="9" customWidth="1" style="66" min="13" max="14"/>
    <col hidden="1" width="13" customWidth="1" style="66" min="15" max="15"/>
    <col hidden="1" width="9" customWidth="1" style="66" min="16" max="18"/>
  </cols>
  <sheetData>
    <row r="1">
      <c r="B1" s="16" t="inlineStr">
        <is>
          <t>노랑셀만입력</t>
        </is>
      </c>
      <c r="F1" s="17" t="inlineStr">
        <is>
          <t>검정셀은수식</t>
        </is>
      </c>
      <c r="H1" s="15" t="inlineStr">
        <is>
          <t>입력하지마시오</t>
        </is>
      </c>
    </row>
    <row r="2">
      <c r="A2" s="1" t="inlineStr">
        <is>
          <t>확인사항</t>
        </is>
      </c>
      <c r="B2" s="12" t="n"/>
      <c r="C2" s="1" t="inlineStr">
        <is>
          <t>기장의무</t>
        </is>
      </c>
      <c r="D2" s="1" t="inlineStr">
        <is>
          <t>유형체크</t>
        </is>
      </c>
      <c r="E2" s="1" t="inlineStr">
        <is>
          <t>금액</t>
        </is>
      </c>
      <c r="F2" s="1" t="inlineStr">
        <is>
          <t>업종코드</t>
        </is>
      </c>
      <c r="G2" s="1" t="inlineStr">
        <is>
          <t>합계</t>
        </is>
      </c>
      <c r="H2" s="1" t="inlineStr">
        <is>
          <t>체크!!!</t>
        </is>
      </c>
    </row>
    <row r="3">
      <c r="A3" s="3" t="inlineStr">
        <is>
          <t>장부유형확인</t>
        </is>
      </c>
      <c r="B3" s="3" t="n"/>
      <c r="C3" s="3" t="inlineStr">
        <is>
          <t>복식부기의무자</t>
        </is>
      </c>
      <c r="D3" s="3" t="n"/>
      <c r="E3" s="3" t="n"/>
      <c r="F3" s="3" t="n"/>
      <c r="G3" s="3" t="n"/>
      <c r="H3" s="3">
        <f>IF(D3="해당","세무사보고","Pass")</f>
        <v/>
      </c>
    </row>
    <row r="4">
      <c r="A4" s="91" t="n"/>
      <c r="B4" s="3" t="n"/>
      <c r="C4" s="3" t="inlineStr">
        <is>
          <t>복식i(사전성실)</t>
        </is>
      </c>
      <c r="D4" s="3" t="n"/>
      <c r="E4" s="3" t="n"/>
      <c r="F4" s="3" t="n"/>
      <c r="G4" s="3" t="n"/>
      <c r="H4" s="3">
        <f>IF(D4="해당","세무사보고","Pass")</f>
        <v/>
      </c>
    </row>
    <row r="5">
      <c r="A5" s="91" t="n"/>
      <c r="B5" s="3" t="inlineStr">
        <is>
          <t>6000이상</t>
        </is>
      </c>
      <c r="C5" s="3" t="inlineStr">
        <is>
          <t>간장복식</t>
        </is>
      </c>
      <c r="D5" s="3" t="inlineStr">
        <is>
          <t>N/A</t>
        </is>
      </c>
      <c r="E5" s="3" t="n"/>
      <c r="F5" s="3" t="n"/>
      <c r="G5" s="3" t="n"/>
      <c r="H5" s="3">
        <f>IF(D5="해당","세무사보고","Pass")</f>
        <v/>
      </c>
    </row>
    <row r="6">
      <c r="A6" s="91" t="n"/>
      <c r="B6" s="3" t="n"/>
      <c r="C6" s="3" t="inlineStr">
        <is>
          <t>간편장부대상자</t>
        </is>
      </c>
      <c r="D6" s="3" t="inlineStr">
        <is>
          <t>해당</t>
        </is>
      </c>
      <c r="E6" s="3" t="n"/>
      <c r="F6" s="3" t="n"/>
      <c r="G6" s="3" t="n"/>
      <c r="H6" s="3">
        <f>IF(D6="해당","세무사보고","Pass")</f>
        <v/>
      </c>
    </row>
    <row r="7">
      <c r="A7" s="91" t="n"/>
      <c r="B7" s="3" t="n"/>
      <c r="C7" s="3" t="inlineStr">
        <is>
          <t>간편i(사전성실)</t>
        </is>
      </c>
      <c r="D7" s="3" t="inlineStr">
        <is>
          <t>N/A</t>
        </is>
      </c>
      <c r="E7" s="3" t="n"/>
      <c r="F7" s="3" t="n"/>
      <c r="G7" s="3" t="n"/>
      <c r="H7" s="3">
        <f>IF(D7="해당","세무사보고","Pass")</f>
        <v/>
      </c>
    </row>
    <row r="8">
      <c r="A8" s="91" t="n"/>
      <c r="B8" s="3" t="n"/>
      <c r="C8" s="3" t="inlineStr">
        <is>
          <t>E유형</t>
        </is>
      </c>
      <c r="D8" s="3" t="n"/>
      <c r="E8" s="3" t="n"/>
      <c r="F8" s="3" t="n"/>
      <c r="G8" s="3" t="n"/>
      <c r="H8" s="3">
        <f>IF(D8="해당","세무사보고","Pass")</f>
        <v/>
      </c>
    </row>
    <row r="9">
      <c r="A9" s="92" t="n"/>
      <c r="B9" s="3" t="n"/>
      <c r="C9" s="3" t="inlineStr">
        <is>
          <t>단순율(G등)</t>
        </is>
      </c>
      <c r="D9" s="3" t="n"/>
      <c r="E9" s="3" t="n"/>
      <c r="F9" s="3" t="n"/>
      <c r="G9" s="3" t="n"/>
      <c r="H9" s="3">
        <f>IF(D9="해당","세무사보고","Pass")</f>
        <v/>
      </c>
    </row>
    <row r="10">
      <c r="A10" s="3" t="inlineStr">
        <is>
          <t>소득종류확인</t>
        </is>
      </c>
      <c r="B10" s="3" t="inlineStr">
        <is>
          <t>사업</t>
        </is>
      </c>
      <c r="C10" s="8" t="inlineStr">
        <is>
          <t>프리랜서</t>
        </is>
      </c>
      <c r="D10" s="3" t="inlineStr">
        <is>
          <t>해당</t>
        </is>
      </c>
      <c r="E10" s="102" t="n"/>
      <c r="F10" s="26" t="n"/>
      <c r="G10" s="27">
        <f>VLOOKUP(F10,업종코드!$A$1:$I$1542,4,FALSE)</f>
        <v/>
      </c>
      <c r="H10" s="3">
        <f>IF(D11="해당","종류확인","Pass")</f>
        <v/>
      </c>
    </row>
    <row r="11">
      <c r="A11" s="91" t="n"/>
      <c r="B11" s="3" t="inlineStr">
        <is>
          <t>사업</t>
        </is>
      </c>
      <c r="C11" s="8" t="inlineStr">
        <is>
          <t>프리랜서</t>
        </is>
      </c>
      <c r="D11" s="3" t="inlineStr">
        <is>
          <t>해당</t>
        </is>
      </c>
      <c r="E11" s="102" t="n"/>
      <c r="F11" s="26" t="n"/>
      <c r="G11" s="27">
        <f>VLOOKUP(F11,업종코드!$A$1:$I$1542,6,FALSE)</f>
        <v/>
      </c>
      <c r="H11" s="3">
        <f>IF(D10="해당","종류확인","Pass")</f>
        <v/>
      </c>
      <c r="J11" s="18" t="inlineStr">
        <is>
          <t>수입금액</t>
        </is>
      </c>
      <c r="K11" s="18" t="inlineStr">
        <is>
          <t>적정소득율</t>
        </is>
      </c>
      <c r="L11" s="18" t="inlineStr">
        <is>
          <t>수임동의</t>
        </is>
      </c>
      <c r="M11" s="18" t="inlineStr">
        <is>
          <t>접수방법</t>
        </is>
      </c>
      <c r="O11" s="18" t="inlineStr">
        <is>
          <t>수입금액</t>
        </is>
      </c>
      <c r="P11" s="18" t="inlineStr">
        <is>
          <t>적정소득율</t>
        </is>
      </c>
      <c r="Q11" s="18" t="inlineStr">
        <is>
          <t>수임동의</t>
        </is>
      </c>
      <c r="R11" s="18" t="inlineStr">
        <is>
          <t>접수방법</t>
        </is>
      </c>
    </row>
    <row r="12">
      <c r="A12" s="91" t="n"/>
      <c r="B12" s="3" t="inlineStr">
        <is>
          <t>근로</t>
        </is>
      </c>
      <c r="C12" s="3" t="n"/>
      <c r="D12" s="3" t="n"/>
      <c r="E12" s="93" t="n"/>
      <c r="F12" s="3" t="n"/>
      <c r="G12" s="3" t="n"/>
      <c r="H12" s="3">
        <f>IF(D13="해당","세무사보고","Pass")</f>
        <v/>
      </c>
      <c r="J12" s="10" t="n">
        <v>0</v>
      </c>
      <c r="K12" s="63" t="n">
        <v>0.2514</v>
      </c>
      <c r="L12" s="10" t="inlineStr">
        <is>
          <t>동의</t>
        </is>
      </c>
      <c r="M12" s="10" t="inlineStr">
        <is>
          <t>홈택스</t>
        </is>
      </c>
      <c r="O12" s="10" t="n">
        <v>0</v>
      </c>
      <c r="P12" s="63" t="n">
        <v>0.2714</v>
      </c>
      <c r="Q12" s="10" t="inlineStr">
        <is>
          <t>동의</t>
        </is>
      </c>
      <c r="R12" s="10" t="inlineStr">
        <is>
          <t>홈택스</t>
        </is>
      </c>
    </row>
    <row r="13">
      <c r="A13" s="91" t="n"/>
      <c r="B13" s="3" t="inlineStr">
        <is>
          <t>연금</t>
        </is>
      </c>
      <c r="C13" s="3" t="n"/>
      <c r="D13" s="3" t="n"/>
      <c r="E13" s="93" t="n"/>
      <c r="F13" s="3" t="n"/>
      <c r="G13" s="3" t="n"/>
      <c r="H13" s="3">
        <f>IF(#REF!="해당","세무사보고","Pass")</f>
        <v/>
      </c>
      <c r="J13" s="97" t="n">
        <v>30000000</v>
      </c>
      <c r="K13" s="63" t="n">
        <v>0.2614</v>
      </c>
      <c r="L13" s="10" t="inlineStr">
        <is>
          <t>동의</t>
        </is>
      </c>
      <c r="M13" s="10" t="inlineStr">
        <is>
          <t>홈택스</t>
        </is>
      </c>
      <c r="O13" s="97" t="n">
        <v>30000000</v>
      </c>
      <c r="P13" s="63" t="n">
        <v>0.3148</v>
      </c>
      <c r="Q13" s="10" t="inlineStr">
        <is>
          <t>동의</t>
        </is>
      </c>
      <c r="R13" s="10" t="inlineStr">
        <is>
          <t>홈택스</t>
        </is>
      </c>
    </row>
    <row r="14">
      <c r="A14" s="91" t="n"/>
      <c r="B14" s="3" t="inlineStr">
        <is>
          <t>기타</t>
        </is>
      </c>
      <c r="C14" s="3" t="n"/>
      <c r="D14" s="3" t="n"/>
      <c r="E14" s="108" t="inlineStr">
        <is>
          <t xml:space="preserve"> </t>
        </is>
      </c>
      <c r="F14" s="3" t="n"/>
      <c r="G14" s="3" t="n"/>
      <c r="H14" s="3">
        <f>IF(D14="해당","세무사보고","Pass")</f>
        <v/>
      </c>
      <c r="J14" s="109" t="n">
        <v>35000000</v>
      </c>
      <c r="K14" s="63" t="n">
        <v>0.2857</v>
      </c>
      <c r="L14" s="10" t="n"/>
      <c r="M14" s="10" t="n"/>
      <c r="O14" s="97" t="n">
        <v>50000000</v>
      </c>
      <c r="P14" s="63" t="n">
        <v>0.3484</v>
      </c>
      <c r="Q14" s="10" t="inlineStr">
        <is>
          <t>동의</t>
        </is>
      </c>
      <c r="R14" s="10" t="inlineStr">
        <is>
          <t>홈택스</t>
        </is>
      </c>
    </row>
    <row r="15">
      <c r="A15" s="91" t="n"/>
      <c r="B15" s="3" t="inlineStr">
        <is>
          <t>금융</t>
        </is>
      </c>
      <c r="C15" s="3" t="n"/>
      <c r="D15" s="3" t="n"/>
      <c r="E15" s="93" t="n"/>
      <c r="F15" s="3" t="n"/>
      <c r="G15" s="3" t="n"/>
      <c r="H15" s="3">
        <f>IF(D15="해당","세무사보고","Pass")</f>
        <v/>
      </c>
      <c r="J15" s="109" t="n">
        <v>40000000</v>
      </c>
      <c r="K15" s="63" t="n">
        <v>0.3048</v>
      </c>
      <c r="L15" s="10" t="n"/>
      <c r="M15" s="10" t="n"/>
      <c r="O15" s="97" t="n">
        <v>65000000</v>
      </c>
      <c r="P15" s="63" t="n">
        <v>0.3814</v>
      </c>
    </row>
    <row r="16">
      <c r="A16" s="92" t="n"/>
      <c r="B16" s="3" t="inlineStr">
        <is>
          <t>주택임대</t>
        </is>
      </c>
      <c r="C16" s="3" t="n"/>
      <c r="D16" s="3" t="n"/>
      <c r="E16" s="93" t="n"/>
      <c r="F16" s="3" t="n"/>
      <c r="G16" s="3" t="n"/>
      <c r="H16" s="3">
        <f>IF(D16="해당","세무사보고","Pass")</f>
        <v/>
      </c>
      <c r="J16" s="97" t="n">
        <v>50000000</v>
      </c>
      <c r="K16" s="63" t="n">
        <v>0.3247</v>
      </c>
      <c r="L16" s="10" t="inlineStr">
        <is>
          <t>동의</t>
        </is>
      </c>
      <c r="M16" s="10" t="inlineStr">
        <is>
          <t>홈택스</t>
        </is>
      </c>
      <c r="O16" s="97" t="n">
        <v>75000000</v>
      </c>
      <c r="P16" s="63" t="n">
        <v>0.4457</v>
      </c>
    </row>
    <row r="17">
      <c r="A17" s="5" t="inlineStr">
        <is>
          <t>합계액</t>
        </is>
      </c>
      <c r="B17" s="5" t="n"/>
      <c r="C17" s="5" t="n"/>
      <c r="D17" s="5" t="n"/>
      <c r="E17" s="98">
        <f>SUM(E10:E16)</f>
        <v/>
      </c>
      <c r="F17" s="5" t="n"/>
      <c r="G17" s="5" t="n"/>
      <c r="H17" s="5" t="n"/>
      <c r="J17" s="97" t="n">
        <v>60000000</v>
      </c>
      <c r="K17" s="63" t="n">
        <v>0.3319</v>
      </c>
      <c r="L17" s="10" t="n"/>
      <c r="M17" s="10" t="n"/>
      <c r="O17" s="97" t="n"/>
      <c r="P17" s="63" t="n"/>
    </row>
    <row r="18">
      <c r="A18" s="7" t="inlineStr">
        <is>
          <t>수입금액(사업자)</t>
        </is>
      </c>
      <c r="B18" s="110" t="n"/>
      <c r="C18" s="98">
        <f>E10</f>
        <v/>
      </c>
      <c r="D18" s="8" t="inlineStr">
        <is>
          <t>수입금액(프리)</t>
        </is>
      </c>
      <c r="E18" s="110" t="n"/>
      <c r="F18" s="98">
        <f>E11</f>
        <v/>
      </c>
      <c r="G18" s="98">
        <f>C18+F18</f>
        <v/>
      </c>
      <c r="H18" s="3" t="n"/>
      <c r="J18" s="97" t="n">
        <v>65000000</v>
      </c>
      <c r="K18" s="63" t="n">
        <v>0.3814</v>
      </c>
      <c r="L18" s="10" t="n"/>
      <c r="M18" s="10" t="n"/>
      <c r="O18" s="97" t="n">
        <v>100000000</v>
      </c>
      <c r="P18" s="63" t="n">
        <v>0.5069</v>
      </c>
    </row>
    <row r="19">
      <c r="A19" s="1" t="inlineStr">
        <is>
          <t>제출자료경비</t>
        </is>
      </c>
      <c r="B19" s="3" t="n"/>
      <c r="C19" s="98">
        <f>C20+C21</f>
        <v/>
      </c>
      <c r="D19" s="1" t="inlineStr">
        <is>
          <t>필요경비</t>
        </is>
      </c>
      <c r="E19" s="3" t="n"/>
      <c r="F19" s="98">
        <f>F20+F21</f>
        <v/>
      </c>
      <c r="G19" s="98">
        <f>C19+F19</f>
        <v/>
      </c>
      <c r="H19" s="3" t="n"/>
      <c r="J19" s="97" t="n">
        <v>75000000</v>
      </c>
      <c r="K19" s="63" t="n">
        <v>0.4251</v>
      </c>
      <c r="L19" s="10" t="n"/>
      <c r="M19" s="10" t="n"/>
      <c r="O19" s="97" t="n">
        <v>150000000</v>
      </c>
      <c r="P19" s="63" t="n">
        <v>0.5476</v>
      </c>
    </row>
    <row r="20">
      <c r="A20" s="3" t="n"/>
      <c r="B20" s="1" t="inlineStr">
        <is>
          <t>신용카드</t>
        </is>
      </c>
      <c r="C20" s="99" t="n"/>
      <c r="D20" s="3" t="n"/>
      <c r="E20" s="1" t="inlineStr">
        <is>
          <t>신용카드</t>
        </is>
      </c>
      <c r="F20" s="99" t="n"/>
      <c r="G20" s="93" t="n"/>
      <c r="H20" s="3" t="n"/>
      <c r="J20" s="97" t="n">
        <v>100000000</v>
      </c>
      <c r="K20" s="63" t="n">
        <v>0.4889</v>
      </c>
      <c r="L20" s="10" t="n"/>
      <c r="M20" s="10" t="n"/>
      <c r="O20" s="97" t="n">
        <v>200000000</v>
      </c>
      <c r="P20" s="63" t="n">
        <v>0.5836</v>
      </c>
    </row>
    <row r="21">
      <c r="A21" s="3" t="n"/>
      <c r="B21" s="1" t="inlineStr">
        <is>
          <t>기타비용</t>
        </is>
      </c>
      <c r="C21" s="99" t="n"/>
      <c r="D21" s="3" t="n"/>
      <c r="E21" s="1" t="inlineStr">
        <is>
          <t>기타비용</t>
        </is>
      </c>
      <c r="F21" s="99" t="n"/>
      <c r="G21" s="93" t="n"/>
      <c r="H21" s="3" t="n"/>
      <c r="J21" s="97" t="n">
        <v>150000000</v>
      </c>
      <c r="K21" s="63" t="n">
        <v>0.5476</v>
      </c>
      <c r="L21" s="10" t="n"/>
      <c r="M21" s="10" t="n"/>
    </row>
    <row r="22">
      <c r="A22" s="3" t="inlineStr">
        <is>
          <t>실질INCOME</t>
        </is>
      </c>
      <c r="B22" s="3" t="n"/>
      <c r="C22" s="98">
        <f>C18-C19</f>
        <v/>
      </c>
      <c r="D22" s="3" t="n"/>
      <c r="E22" s="3" t="n"/>
      <c r="F22" s="98">
        <f>F18-F19</f>
        <v/>
      </c>
      <c r="G22" s="98">
        <f>C22+F22</f>
        <v/>
      </c>
      <c r="H22" s="3" t="n"/>
      <c r="J22" s="97" t="n">
        <v>200000000</v>
      </c>
      <c r="K22" s="63" t="n">
        <v>0.5836</v>
      </c>
      <c r="L22" s="10" t="n"/>
      <c r="M22" s="10" t="n"/>
    </row>
    <row r="23">
      <c r="A23" s="3" t="inlineStr">
        <is>
          <t>GAP</t>
        </is>
      </c>
      <c r="B23" s="3" t="n"/>
      <c r="C23" s="98">
        <f>C22-C24</f>
        <v/>
      </c>
      <c r="D23" s="3" t="n"/>
      <c r="E23" s="3" t="n"/>
      <c r="F23" s="98">
        <f>F22-F24</f>
        <v/>
      </c>
      <c r="G23" s="98" t="n"/>
      <c r="H23" s="3">
        <f>IF(G23&gt;50000000,"세무사보고","Pass")</f>
        <v/>
      </c>
      <c r="J23" s="97" t="n"/>
      <c r="K23" s="21" t="n"/>
      <c r="L23" s="10" t="n"/>
      <c r="M23" s="10" t="n"/>
    </row>
    <row r="24">
      <c r="A24" s="5" t="inlineStr">
        <is>
          <t>target소득금액</t>
        </is>
      </c>
      <c r="B24" s="5" t="n"/>
      <c r="C24" s="98">
        <f>C18*B28</f>
        <v/>
      </c>
      <c r="D24" s="5" t="inlineStr">
        <is>
          <t>소득율</t>
        </is>
      </c>
      <c r="E24" s="5" t="n"/>
      <c r="F24" s="98">
        <f>F18*E28</f>
        <v/>
      </c>
      <c r="G24" s="98">
        <f>C24+F24</f>
        <v/>
      </c>
      <c r="H24" s="3" t="n"/>
    </row>
    <row r="25">
      <c r="A25" s="3" t="inlineStr">
        <is>
          <t>업종단순율</t>
        </is>
      </c>
      <c r="B25" s="3">
        <f>VLOOKUP(F10,업종코드!$A$1:$I$1542,7,FALSE)</f>
        <v/>
      </c>
      <c r="C25" s="93" t="n"/>
      <c r="D25" s="3" t="n"/>
      <c r="E25" s="3">
        <f>VLOOKUP(F11,업종코드!$A$1:$I$1542,7,FALSE)</f>
        <v/>
      </c>
      <c r="F25" s="93" t="n"/>
      <c r="G25" s="93" t="n"/>
      <c r="H25" s="3" t="n"/>
    </row>
    <row r="26">
      <c r="A26" s="3" t="inlineStr">
        <is>
          <t>(1)업종소득율</t>
        </is>
      </c>
      <c r="B26" s="3">
        <f>1-B25*0.01</f>
        <v/>
      </c>
      <c r="C26" s="93" t="n"/>
      <c r="D26" s="3" t="n"/>
      <c r="E26" s="3">
        <f>1-E25*0.01</f>
        <v/>
      </c>
      <c r="F26" s="93" t="n"/>
      <c r="G26" s="93" t="n"/>
      <c r="H26" s="3" t="n"/>
    </row>
    <row r="27">
      <c r="A27" s="3" t="inlineStr">
        <is>
          <t>(2)수입구간별</t>
        </is>
      </c>
      <c r="B27" s="3">
        <f>VLOOKUP(E17,$J$11:$K$22,2,TRUE)</f>
        <v/>
      </c>
      <c r="C27" s="93" t="n"/>
      <c r="D27" s="3" t="n"/>
      <c r="E27" s="3">
        <f>VLOOKUP(E17,$J$11:$K$22,2,TRUE)</f>
        <v/>
      </c>
      <c r="F27" s="93" t="n"/>
      <c r="G27" s="93" t="n"/>
      <c r="H27" s="3" t="n"/>
    </row>
    <row r="28">
      <c r="A28" s="3" t="inlineStr">
        <is>
          <t>Min(1,2)</t>
        </is>
      </c>
      <c r="B28" s="3">
        <f>IF(E17&lt;50000000,MIN(B26,B27),MAX(B26,B27))</f>
        <v/>
      </c>
      <c r="C28" s="93" t="n"/>
      <c r="D28" s="3" t="n"/>
      <c r="E28" s="3">
        <f>IF(E17&lt;50000000,MIN(E26,E27),MAX(E26,E27))</f>
        <v/>
      </c>
      <c r="F28" s="93" t="n"/>
      <c r="G28" s="93" t="n"/>
      <c r="H28" s="3" t="n"/>
    </row>
    <row r="29">
      <c r="A29" s="5" t="inlineStr">
        <is>
          <t>사업자 필요경비</t>
        </is>
      </c>
      <c r="B29" s="5" t="n"/>
      <c r="C29" s="98">
        <f>C18-C24</f>
        <v/>
      </c>
      <c r="D29" s="5" t="inlineStr">
        <is>
          <t>프리랜서 필요경비</t>
        </is>
      </c>
      <c r="E29" s="5" t="n"/>
      <c r="F29" s="98">
        <f>F18-F24</f>
        <v/>
      </c>
      <c r="G29" s="98" t="n"/>
      <c r="H29" s="3" t="n"/>
    </row>
    <row r="30">
      <c r="A30" s="7" t="inlineStr">
        <is>
          <t>당기매입액</t>
        </is>
      </c>
      <c r="B30" s="3" t="n"/>
      <c r="C30" s="99" t="n"/>
      <c r="D30" s="3" t="inlineStr">
        <is>
          <t>급여</t>
        </is>
      </c>
      <c r="E30" s="3" t="n"/>
      <c r="F30" s="99" t="n"/>
      <c r="G30" s="99" t="n"/>
      <c r="H30" s="3" t="n"/>
    </row>
    <row r="31">
      <c r="A31" s="3" t="inlineStr">
        <is>
          <t>급여</t>
        </is>
      </c>
      <c r="B31" s="3" t="n"/>
      <c r="C31" s="99" t="n"/>
      <c r="D31" s="8" t="inlineStr">
        <is>
          <t>급여</t>
        </is>
      </c>
      <c r="E31" s="3" t="n"/>
      <c r="F31" s="93" t="n"/>
      <c r="G31" s="99" t="n"/>
      <c r="H31" s="3" t="n"/>
    </row>
    <row r="32">
      <c r="A32" s="7" t="inlineStr">
        <is>
          <t>제세공과금</t>
        </is>
      </c>
      <c r="B32" s="3" t="n"/>
      <c r="C32" s="99" t="n"/>
      <c r="D32" s="7" t="inlineStr">
        <is>
          <t>제세공과금</t>
        </is>
      </c>
      <c r="E32" s="3" t="n"/>
      <c r="F32" s="99" t="n"/>
      <c r="G32" s="99" t="n"/>
      <c r="H32" s="3" t="n"/>
    </row>
    <row r="33">
      <c r="A33" s="3" t="inlineStr">
        <is>
          <t>임차료</t>
        </is>
      </c>
      <c r="B33" s="3" t="n"/>
      <c r="C33" s="99" t="n"/>
      <c r="D33" s="8" t="inlineStr">
        <is>
          <t>임차료</t>
        </is>
      </c>
      <c r="E33" s="3" t="n"/>
      <c r="F33" s="93" t="n"/>
      <c r="G33" s="99" t="n"/>
      <c r="H33" s="3" t="n"/>
    </row>
    <row r="34">
      <c r="A34" s="3" t="inlineStr">
        <is>
          <t>지급이자</t>
        </is>
      </c>
      <c r="B34" s="3" t="n"/>
      <c r="C34" s="99" t="n"/>
      <c r="D34" s="3" t="inlineStr">
        <is>
          <t>지급이자</t>
        </is>
      </c>
      <c r="E34" s="3" t="n"/>
      <c r="F34" s="99" t="n"/>
      <c r="G34" s="99" t="n"/>
      <c r="H34" s="3" t="n"/>
    </row>
    <row r="35">
      <c r="A35" s="7" t="inlineStr">
        <is>
          <t>접대비</t>
        </is>
      </c>
      <c r="B35" s="3" t="n"/>
      <c r="C35" s="99" t="n"/>
      <c r="D35" s="7" t="inlineStr">
        <is>
          <t>접대비</t>
        </is>
      </c>
      <c r="E35" s="107">
        <f>F35-3530697</f>
        <v/>
      </c>
      <c r="F35" s="103" t="n"/>
      <c r="G35" s="99" t="n"/>
      <c r="H35" s="58" t="n"/>
    </row>
    <row r="36">
      <c r="A36" s="3" t="inlineStr">
        <is>
          <t>기부금</t>
        </is>
      </c>
      <c r="B36" s="3" t="n"/>
      <c r="C36" s="99" t="n"/>
      <c r="D36" s="3" t="inlineStr">
        <is>
          <t>기부금</t>
        </is>
      </c>
      <c r="E36" s="3" t="n"/>
      <c r="F36" s="99" t="n"/>
      <c r="G36" s="99" t="n"/>
      <c r="H36" s="3" t="n"/>
    </row>
    <row r="37">
      <c r="A37" s="3" t="inlineStr">
        <is>
          <t>감가상각비</t>
        </is>
      </c>
      <c r="B37" s="3" t="n"/>
      <c r="C37" s="99" t="n"/>
      <c r="D37" s="8" t="inlineStr">
        <is>
          <t>감가상각비</t>
        </is>
      </c>
      <c r="E37" s="3" t="n"/>
      <c r="F37" s="93" t="n"/>
      <c r="G37" s="99" t="n"/>
      <c r="H37" s="58" t="n"/>
    </row>
    <row r="38">
      <c r="A38" s="8" t="inlineStr">
        <is>
          <t>차량유지비</t>
        </is>
      </c>
      <c r="B38" s="3" t="n"/>
      <c r="C38" s="99" t="n"/>
      <c r="D38" s="8" t="inlineStr">
        <is>
          <t>차량유지비</t>
        </is>
      </c>
      <c r="E38" s="3" t="n"/>
      <c r="F38" s="93" t="n"/>
      <c r="G38" s="99" t="n"/>
      <c r="H38" s="58" t="n"/>
    </row>
    <row r="39">
      <c r="A39" s="7" t="inlineStr">
        <is>
          <t>지급수수료</t>
        </is>
      </c>
      <c r="B39" s="3" t="n"/>
      <c r="C39" s="103" t="n"/>
      <c r="D39" s="7" t="inlineStr">
        <is>
          <t>지급수수료</t>
        </is>
      </c>
      <c r="E39" s="107">
        <f>F39-4503540</f>
        <v/>
      </c>
      <c r="F39" s="103" t="n"/>
      <c r="G39" s="99" t="n"/>
      <c r="H39" s="3" t="n"/>
    </row>
    <row r="40">
      <c r="A40" s="7" t="inlineStr">
        <is>
          <t>소모품비</t>
        </is>
      </c>
      <c r="B40" s="3" t="n"/>
      <c r="C40" s="99" t="n"/>
      <c r="D40" s="7" t="inlineStr">
        <is>
          <t>소모품비</t>
        </is>
      </c>
      <c r="E40" s="107">
        <f>F40-2245194</f>
        <v/>
      </c>
      <c r="F40" s="99" t="n"/>
      <c r="G40" s="99" t="n"/>
      <c r="H40" s="3" t="n"/>
    </row>
    <row r="41">
      <c r="A41" s="3" t="inlineStr">
        <is>
          <t>복리후생비</t>
        </is>
      </c>
      <c r="B41" s="3" t="n"/>
      <c r="C41" s="99" t="n"/>
      <c r="D41" s="8" t="inlineStr">
        <is>
          <t>복리후생비</t>
        </is>
      </c>
      <c r="E41" s="3" t="n"/>
      <c r="F41" s="93" t="n"/>
      <c r="G41" s="99" t="n"/>
      <c r="H41" s="3" t="n"/>
    </row>
    <row r="42">
      <c r="A42" s="3" t="inlineStr">
        <is>
          <t>운반비</t>
        </is>
      </c>
      <c r="B42" s="3" t="n"/>
      <c r="C42" s="99" t="n"/>
      <c r="D42" s="7" t="inlineStr">
        <is>
          <t>운반비</t>
        </is>
      </c>
      <c r="E42" s="3" t="n"/>
      <c r="F42" s="99" t="n"/>
      <c r="G42" s="99" t="n"/>
      <c r="H42" s="3" t="n"/>
    </row>
    <row r="43">
      <c r="A43" s="7" t="inlineStr">
        <is>
          <t>광고선전비</t>
        </is>
      </c>
      <c r="B43" s="3" t="n"/>
      <c r="C43" s="99" t="n"/>
      <c r="D43" s="7" t="inlineStr">
        <is>
          <t>광고선전비</t>
        </is>
      </c>
      <c r="E43" s="3" t="n"/>
      <c r="F43" s="99" t="n"/>
      <c r="G43" s="99" t="n"/>
      <c r="H43" s="3" t="n"/>
    </row>
    <row r="44">
      <c r="A44" s="7" t="inlineStr">
        <is>
          <t>여비교통비</t>
        </is>
      </c>
      <c r="B44" s="3" t="n"/>
      <c r="C44" s="99" t="n"/>
      <c r="D44" s="7" t="inlineStr">
        <is>
          <t>여비교통비</t>
        </is>
      </c>
      <c r="E44" s="3" t="n"/>
      <c r="F44" s="99" t="n"/>
      <c r="G44" s="99" t="n"/>
      <c r="H44" s="3" t="n"/>
    </row>
    <row r="45">
      <c r="A45" s="7" t="inlineStr">
        <is>
          <t>기타</t>
        </is>
      </c>
      <c r="B45" s="3" t="n"/>
      <c r="C45" s="99" t="n"/>
      <c r="D45" s="7" t="inlineStr">
        <is>
          <t>기타</t>
        </is>
      </c>
      <c r="E45" s="107">
        <f>F45-3210354</f>
        <v/>
      </c>
      <c r="F45" s="103" t="n"/>
      <c r="G45" s="99" t="n"/>
      <c r="H45" s="3" t="n"/>
    </row>
    <row r="46">
      <c r="A46" s="5" t="inlineStr">
        <is>
          <t>합계</t>
        </is>
      </c>
      <c r="B46" s="5" t="n"/>
      <c r="C46" s="98">
        <f>SUM(C30:C45)</f>
        <v/>
      </c>
      <c r="D46" s="5" t="inlineStr">
        <is>
          <t>합계</t>
        </is>
      </c>
      <c r="E46" s="5" t="n"/>
      <c r="F46" s="98">
        <f>SUM(F30:F45)</f>
        <v/>
      </c>
      <c r="G46" s="98" t="n"/>
      <c r="H46" s="3" t="n"/>
    </row>
    <row r="47">
      <c r="A47" s="51" t="inlineStr">
        <is>
          <t>경비부족액</t>
        </is>
      </c>
      <c r="B47" s="51" t="n"/>
      <c r="C47" s="111">
        <f>C29-C46</f>
        <v/>
      </c>
      <c r="D47" s="51" t="inlineStr">
        <is>
          <t>잔액</t>
        </is>
      </c>
      <c r="E47" s="51" t="n"/>
      <c r="F47" s="111">
        <f>F29-F46</f>
        <v/>
      </c>
      <c r="G47" s="106" t="n"/>
      <c r="H47" s="3" t="n"/>
    </row>
    <row r="48">
      <c r="A48" s="3" t="inlineStr">
        <is>
          <t>소득금액</t>
        </is>
      </c>
      <c r="B48" s="3" t="n"/>
      <c r="C48" s="107">
        <f>C24+F24</f>
        <v/>
      </c>
      <c r="D48" s="3" t="n"/>
      <c r="E48" s="3" t="n"/>
      <c r="F48" s="3" t="n"/>
      <c r="G48" s="3" t="n"/>
      <c r="H48" s="3" t="n"/>
    </row>
    <row r="49">
      <c r="A49" s="3" t="inlineStr">
        <is>
          <t>소득공제</t>
        </is>
      </c>
      <c r="B49" s="3" t="n"/>
      <c r="C49" s="3" t="n"/>
      <c r="D49" s="3" t="n"/>
      <c r="E49" s="3" t="n"/>
      <c r="F49" s="3" t="n"/>
      <c r="G49" s="3" t="n"/>
      <c r="H49" s="3" t="n"/>
    </row>
    <row r="50">
      <c r="A50" s="3" t="n"/>
      <c r="B50" s="10" t="inlineStr">
        <is>
          <t>본인</t>
        </is>
      </c>
      <c r="C50" s="3" t="n"/>
      <c r="D50" s="3" t="n"/>
      <c r="E50" s="3" t="n"/>
      <c r="F50" s="3" t="n"/>
      <c r="G50" s="3" t="n"/>
      <c r="H50" s="3" t="n"/>
    </row>
    <row r="51">
      <c r="A51" s="3" t="n"/>
      <c r="B51" s="10" t="inlineStr">
        <is>
          <t>배우자</t>
        </is>
      </c>
      <c r="C51" s="3" t="n"/>
      <c r="D51" s="3" t="n"/>
      <c r="E51" s="3" t="n"/>
      <c r="F51" s="3" t="n"/>
      <c r="G51" s="3" t="n"/>
      <c r="H51" s="3" t="n"/>
    </row>
    <row r="52">
      <c r="A52" s="3" t="n"/>
      <c r="B52" s="10" t="inlineStr">
        <is>
          <t>자녀</t>
        </is>
      </c>
      <c r="C52" s="3" t="n"/>
      <c r="D52" s="3" t="n"/>
      <c r="E52" s="3" t="n"/>
      <c r="F52" s="3" t="n"/>
      <c r="G52" s="3" t="n"/>
      <c r="H52" s="3" t="n"/>
    </row>
    <row r="53">
      <c r="A53" s="3" t="n"/>
      <c r="B53" s="10" t="inlineStr">
        <is>
          <t>부모님</t>
        </is>
      </c>
      <c r="C53" s="3" t="n"/>
      <c r="D53" s="3" t="n"/>
      <c r="E53" s="3" t="n"/>
      <c r="F53" s="3" t="n"/>
      <c r="G53" s="3" t="n"/>
      <c r="H53" s="3" t="n"/>
    </row>
    <row r="54">
      <c r="A54" s="3" t="n"/>
      <c r="B54" s="10" t="inlineStr">
        <is>
          <t>형제자매</t>
        </is>
      </c>
      <c r="C54" s="3" t="n"/>
      <c r="D54" s="3" t="n"/>
      <c r="E54" s="3" t="n"/>
      <c r="F54" s="3" t="n"/>
      <c r="G54" s="3" t="n"/>
      <c r="H54" s="3" t="n"/>
    </row>
    <row r="55">
      <c r="A55" s="3" t="n"/>
      <c r="B55" s="10" t="inlineStr">
        <is>
          <t>경로우대자</t>
        </is>
      </c>
      <c r="C55" s="3" t="n"/>
      <c r="D55" s="3" t="n"/>
      <c r="E55" s="3" t="n"/>
      <c r="F55" s="3" t="n"/>
      <c r="G55" s="3" t="n"/>
      <c r="H55" s="3" t="n"/>
    </row>
    <row r="56">
      <c r="A56" s="3" t="n"/>
      <c r="B56" s="10" t="inlineStr">
        <is>
          <t>장애인</t>
        </is>
      </c>
      <c r="C56" s="3" t="n"/>
      <c r="D56" s="3" t="n"/>
      <c r="E56" s="3" t="n"/>
      <c r="F56" s="3" t="n"/>
      <c r="G56" s="3" t="n"/>
      <c r="H56" s="3" t="n"/>
    </row>
    <row r="57">
      <c r="A57" s="3" t="n"/>
      <c r="B57" s="10" t="inlineStr">
        <is>
          <t>부녀자</t>
        </is>
      </c>
      <c r="C57" s="3" t="n"/>
      <c r="D57" s="3" t="n"/>
      <c r="E57" s="3" t="n"/>
      <c r="F57" s="3" t="n"/>
      <c r="G57" s="3" t="n"/>
      <c r="H57" s="3" t="n"/>
    </row>
    <row r="58">
      <c r="A58" s="3" t="n"/>
      <c r="B58" s="10" t="inlineStr">
        <is>
          <t>한부모가정</t>
        </is>
      </c>
      <c r="C58" s="3" t="n"/>
      <c r="D58" s="3" t="n"/>
      <c r="E58" s="3" t="n"/>
      <c r="F58" s="3" t="n"/>
      <c r="G58" s="3" t="n"/>
      <c r="H58" s="3" t="n"/>
    </row>
    <row r="59" customFormat="1" s="2">
      <c r="A59" s="3" t="n"/>
      <c r="B59" s="10" t="inlineStr">
        <is>
          <t>기타소득공제</t>
        </is>
      </c>
      <c r="C59" s="3" t="n"/>
      <c r="D59" s="3" t="n"/>
      <c r="E59" s="3" t="n"/>
      <c r="F59" s="3" t="n"/>
      <c r="G59" s="3" t="n"/>
      <c r="H59" s="3" t="n"/>
      <c r="I59" s="0" t="n"/>
      <c r="J59" s="0" t="n"/>
      <c r="K59" s="0" t="n"/>
      <c r="L59" s="0" t="n"/>
      <c r="M59" s="0" t="n"/>
      <c r="N59" s="0" t="n"/>
    </row>
    <row r="60" customFormat="1" s="2">
      <c r="A60" s="3" t="inlineStr">
        <is>
          <t>세액공제</t>
        </is>
      </c>
      <c r="B60" s="3" t="n"/>
      <c r="C60" s="3" t="n"/>
      <c r="D60" s="3" t="n"/>
      <c r="E60" s="3" t="n"/>
      <c r="F60" s="3" t="n"/>
      <c r="G60" s="3" t="n"/>
      <c r="H60" s="3" t="n"/>
      <c r="I60" s="0" t="n"/>
      <c r="J60" s="0" t="n"/>
      <c r="K60" s="0" t="n"/>
      <c r="L60" s="0" t="n"/>
      <c r="M60" s="0" t="n"/>
      <c r="N60" s="0" t="n"/>
    </row>
    <row r="61" customFormat="1" s="2">
      <c r="A61" s="3" t="n"/>
      <c r="B61" s="3" t="inlineStr">
        <is>
          <t>퇴직연금세액공제</t>
        </is>
      </c>
      <c r="C61" s="3" t="n"/>
      <c r="D61" s="3" t="n"/>
      <c r="E61" s="3" t="n"/>
      <c r="F61" s="3" t="n"/>
      <c r="G61" s="3" t="n"/>
      <c r="H61" s="3" t="n"/>
      <c r="I61" s="0" t="n"/>
      <c r="J61" s="0" t="n"/>
      <c r="K61" s="0" t="n"/>
      <c r="L61" s="0" t="n"/>
      <c r="M61" s="0" t="n"/>
      <c r="N61" s="0" t="n"/>
    </row>
    <row r="62" customFormat="1" s="2">
      <c r="A62" s="3" t="n"/>
      <c r="B62" s="3" t="inlineStr">
        <is>
          <t>연금계좌세액공제</t>
        </is>
      </c>
      <c r="C62" s="3" t="n"/>
      <c r="D62" s="3" t="n"/>
      <c r="E62" s="3" t="n"/>
      <c r="F62" s="3" t="n"/>
      <c r="G62" s="3" t="n"/>
      <c r="H62" s="3" t="n"/>
      <c r="I62" s="0" t="n"/>
      <c r="J62" s="0" t="n"/>
      <c r="K62" s="0" t="n"/>
      <c r="L62" s="0" t="n"/>
      <c r="M62" s="0" t="n"/>
      <c r="N62" s="0" t="n"/>
    </row>
    <row r="63">
      <c r="A63" s="3" t="n"/>
      <c r="B63" s="3" t="n"/>
      <c r="C63" s="3" t="n"/>
      <c r="D63" s="3" t="n"/>
      <c r="E63" s="3" t="n"/>
      <c r="F63" s="3" t="n"/>
      <c r="G63" s="3" t="n"/>
    </row>
    <row r="64">
      <c r="A64" s="3" t="n"/>
      <c r="B64" s="3" t="n"/>
      <c r="C64" s="3" t="n"/>
      <c r="D64" s="3" t="n"/>
      <c r="E64" s="3" t="n"/>
      <c r="F64" s="3" t="n"/>
      <c r="G64" s="3" t="n"/>
    </row>
  </sheetData>
  <mergeCells count="4">
    <mergeCell ref="A18:B18"/>
    <mergeCell ref="A10:A16"/>
    <mergeCell ref="A3:A9"/>
    <mergeCell ref="D18:E18"/>
  </mergeCells>
  <conditionalFormatting sqref="D3:D11 D13:D17">
    <cfRule type="containsText" priority="4" operator="containsText" dxfId="0" text="해당">
      <formula>NOT(ISERROR(SEARCH("해당",D3)))</formula>
    </cfRule>
  </conditionalFormatting>
  <conditionalFormatting sqref="H3:H29 H31:H45">
    <cfRule type="containsText" priority="3" operator="containsText" dxfId="0" text="세무사보고">
      <formula>NOT(ISERROR(SEARCH("세무사보고",H3)))</formula>
    </cfRule>
  </conditionalFormatting>
  <conditionalFormatting sqref="H30">
    <cfRule type="containsText" priority="2" operator="containsText" dxfId="0" text="세무사보고">
      <formula>NOT(ISERROR(SEARCH("세무사보고",H30)))</formula>
    </cfRule>
  </conditionalFormatting>
  <conditionalFormatting sqref="D12">
    <cfRule type="containsText" priority="1" operator="containsText" dxfId="0" text="해당">
      <formula>NOT(ISERROR(SEARCH("해당",D12)))</formula>
    </cfRule>
  </conditionalFormatting>
  <pageMargins left="0" right="0" top="0" bottom="0" header="0" footer="0"/>
  <pageSetup orientation="portrait" paperSize="9" scale="68"/>
</worksheet>
</file>

<file path=xl/worksheets/sheet5.xml><?xml version="1.0" encoding="utf-8"?>
<worksheet xmlns="http://schemas.openxmlformats.org/spreadsheetml/2006/main">
  <sheetPr>
    <tabColor rgb="FF00B0F0"/>
    <outlinePr summaryBelow="1" summaryRight="1"/>
    <pageSetUpPr fitToPage="1"/>
  </sheetPr>
  <dimension ref="A1:R64"/>
  <sheetViews>
    <sheetView workbookViewId="0">
      <selection activeCell="F2" sqref="F2"/>
    </sheetView>
  </sheetViews>
  <sheetFormatPr baseColWidth="8" defaultRowHeight="16.5"/>
  <cols>
    <col width="16.875" customWidth="1" style="2" min="1" max="8"/>
    <col width="9" customWidth="1" style="66" min="9" max="9"/>
    <col hidden="1" width="12.75" customWidth="1" style="66" min="10" max="10"/>
    <col hidden="1" width="12.25" customWidth="1" style="66" min="11" max="11"/>
    <col hidden="1" width="10.625" customWidth="1" style="66" min="12" max="12"/>
    <col hidden="1" width="9" customWidth="1" style="66" min="13" max="14"/>
    <col hidden="1" width="13" customWidth="1" style="66" min="15" max="15"/>
    <col hidden="1" width="9" customWidth="1" style="66" min="16" max="18"/>
  </cols>
  <sheetData>
    <row r="1">
      <c r="B1" s="16" t="inlineStr">
        <is>
          <t>노랑셀만입력</t>
        </is>
      </c>
      <c r="F1" s="17" t="inlineStr">
        <is>
          <t>검정셀은수식</t>
        </is>
      </c>
      <c r="H1" s="15" t="inlineStr">
        <is>
          <t>입력하지마시오</t>
        </is>
      </c>
    </row>
    <row r="2">
      <c r="A2" s="1" t="inlineStr">
        <is>
          <t>확인사항</t>
        </is>
      </c>
      <c r="B2" s="12" t="n"/>
      <c r="C2" s="1" t="inlineStr">
        <is>
          <t>기장의무</t>
        </is>
      </c>
      <c r="D2" s="1" t="inlineStr">
        <is>
          <t>유형체크</t>
        </is>
      </c>
      <c r="E2" s="1" t="inlineStr">
        <is>
          <t>금액</t>
        </is>
      </c>
      <c r="F2" s="1" t="inlineStr">
        <is>
          <t>업종코드</t>
        </is>
      </c>
      <c r="G2" s="1" t="inlineStr">
        <is>
          <t>합계</t>
        </is>
      </c>
      <c r="H2" s="1" t="inlineStr">
        <is>
          <t>체크!!!</t>
        </is>
      </c>
    </row>
    <row r="3">
      <c r="A3" s="3" t="inlineStr">
        <is>
          <t>장부유형확인</t>
        </is>
      </c>
      <c r="B3" s="3" t="n"/>
      <c r="C3" s="3" t="inlineStr">
        <is>
          <t>복식부기의무자</t>
        </is>
      </c>
      <c r="D3" s="3" t="n"/>
      <c r="E3" s="3" t="n"/>
      <c r="F3" s="3" t="n"/>
      <c r="G3" s="3" t="n"/>
      <c r="H3" s="3">
        <f>IF(D3="해당","세무사보고","Pass")</f>
        <v/>
      </c>
    </row>
    <row r="4">
      <c r="A4" s="91" t="n"/>
      <c r="B4" s="3" t="n"/>
      <c r="C4" s="3" t="inlineStr">
        <is>
          <t>복식i(사전성실)</t>
        </is>
      </c>
      <c r="D4" s="3" t="n"/>
      <c r="E4" s="3" t="n"/>
      <c r="F4" s="3" t="n"/>
      <c r="G4" s="3" t="n"/>
      <c r="H4" s="3">
        <f>IF(D4="해당","세무사보고","Pass")</f>
        <v/>
      </c>
    </row>
    <row r="5">
      <c r="A5" s="91" t="n"/>
      <c r="B5" s="3" t="inlineStr">
        <is>
          <t>6000이상</t>
        </is>
      </c>
      <c r="C5" s="3" t="inlineStr">
        <is>
          <t>간장복식</t>
        </is>
      </c>
      <c r="D5" s="3" t="inlineStr">
        <is>
          <t>N/A</t>
        </is>
      </c>
      <c r="E5" s="3" t="n"/>
      <c r="F5" s="3" t="n"/>
      <c r="G5" s="3" t="n"/>
      <c r="H5" s="3">
        <f>IF(D5="해당","세무사보고","Pass")</f>
        <v/>
      </c>
    </row>
    <row r="6">
      <c r="A6" s="91" t="n"/>
      <c r="B6" s="3" t="n"/>
      <c r="C6" s="3" t="inlineStr">
        <is>
          <t>간편장부대상자</t>
        </is>
      </c>
      <c r="D6" s="3" t="inlineStr">
        <is>
          <t>해당</t>
        </is>
      </c>
      <c r="E6" s="3" t="n"/>
      <c r="F6" s="3" t="n"/>
      <c r="G6" s="3" t="n"/>
      <c r="H6" s="3">
        <f>IF(D6="해당","세무사보고","Pass")</f>
        <v/>
      </c>
    </row>
    <row r="7">
      <c r="A7" s="91" t="n"/>
      <c r="B7" s="3" t="n"/>
      <c r="C7" s="3" t="inlineStr">
        <is>
          <t>간편i(사전성실)</t>
        </is>
      </c>
      <c r="D7" s="3" t="inlineStr">
        <is>
          <t>N/A</t>
        </is>
      </c>
      <c r="E7" s="3" t="n"/>
      <c r="F7" s="3" t="n"/>
      <c r="G7" s="3" t="n"/>
      <c r="H7" s="3">
        <f>IF(D7="해당","세무사보고","Pass")</f>
        <v/>
      </c>
    </row>
    <row r="8">
      <c r="A8" s="91" t="n"/>
      <c r="B8" s="3" t="n"/>
      <c r="C8" s="3" t="inlineStr">
        <is>
          <t>E유형</t>
        </is>
      </c>
      <c r="D8" s="3" t="n"/>
      <c r="E8" s="3" t="n"/>
      <c r="F8" s="3" t="n"/>
      <c r="G8" s="3" t="n"/>
      <c r="H8" s="3">
        <f>IF(D8="해당","세무사보고","Pass")</f>
        <v/>
      </c>
    </row>
    <row r="9">
      <c r="A9" s="92" t="n"/>
      <c r="B9" s="3" t="n"/>
      <c r="C9" s="3" t="inlineStr">
        <is>
          <t>단순율(G등)</t>
        </is>
      </c>
      <c r="D9" s="3" t="n"/>
      <c r="E9" s="3" t="n"/>
      <c r="F9" s="3" t="n"/>
      <c r="G9" s="3" t="n"/>
      <c r="H9" s="3">
        <f>IF(D9="해당","세무사보고","Pass")</f>
        <v/>
      </c>
    </row>
    <row r="10">
      <c r="A10" s="3" t="inlineStr">
        <is>
          <t>소득종류확인</t>
        </is>
      </c>
      <c r="B10" s="3" t="inlineStr">
        <is>
          <t>사업</t>
        </is>
      </c>
      <c r="C10" s="7" t="inlineStr">
        <is>
          <t>(必)사업자</t>
        </is>
      </c>
      <c r="D10" s="3" t="inlineStr">
        <is>
          <t>해당</t>
        </is>
      </c>
      <c r="E10" s="102" t="n"/>
      <c r="F10" s="26" t="n"/>
      <c r="G10" s="27">
        <f>VLOOKUP(F10,업종코드!$A$1:$I$1542,4,FALSE)</f>
        <v/>
      </c>
      <c r="H10" s="3">
        <f>IF(D11="해당","종류확인","Pass")</f>
        <v/>
      </c>
    </row>
    <row r="11">
      <c r="A11" s="91" t="n"/>
      <c r="B11" s="3" t="inlineStr">
        <is>
          <t>사업</t>
        </is>
      </c>
      <c r="C11" s="8" t="inlineStr">
        <is>
          <t>프리랜서</t>
        </is>
      </c>
      <c r="D11" s="3" t="inlineStr">
        <is>
          <t>해당</t>
        </is>
      </c>
      <c r="E11" s="102" t="n"/>
      <c r="F11" s="26" t="n"/>
      <c r="G11" s="27">
        <f>VLOOKUP(F11,업종코드!$A$1:$I$1542,6,FALSE)</f>
        <v/>
      </c>
      <c r="H11" s="3">
        <f>IF(D10="해당","종류확인","Pass")</f>
        <v/>
      </c>
      <c r="J11" s="18" t="inlineStr">
        <is>
          <t>수입금액</t>
        </is>
      </c>
      <c r="K11" s="18" t="inlineStr">
        <is>
          <t>적정소득율</t>
        </is>
      </c>
      <c r="L11" s="18" t="inlineStr">
        <is>
          <t>수임동의</t>
        </is>
      </c>
      <c r="M11" s="18" t="inlineStr">
        <is>
          <t>접수방법</t>
        </is>
      </c>
      <c r="O11" s="18" t="inlineStr">
        <is>
          <t>수입금액</t>
        </is>
      </c>
      <c r="P11" s="18" t="inlineStr">
        <is>
          <t>적정소득율</t>
        </is>
      </c>
      <c r="Q11" s="18" t="inlineStr">
        <is>
          <t>수임동의</t>
        </is>
      </c>
      <c r="R11" s="18" t="inlineStr">
        <is>
          <t>접수방법</t>
        </is>
      </c>
    </row>
    <row r="12">
      <c r="A12" s="91" t="n"/>
      <c r="B12" s="3" t="inlineStr">
        <is>
          <t>근로</t>
        </is>
      </c>
      <c r="C12" s="3" t="n"/>
      <c r="D12" s="3" t="n"/>
      <c r="E12" s="93" t="n"/>
      <c r="F12" s="3" t="n"/>
      <c r="G12" s="3" t="n"/>
      <c r="H12" s="3">
        <f>IF(D13="해당","세무사보고","Pass")</f>
        <v/>
      </c>
      <c r="J12" s="10" t="n">
        <v>0</v>
      </c>
      <c r="K12" s="63" t="n">
        <v>0.2514</v>
      </c>
      <c r="L12" s="10" t="inlineStr">
        <is>
          <t>동의</t>
        </is>
      </c>
      <c r="M12" s="10" t="inlineStr">
        <is>
          <t>홈택스</t>
        </is>
      </c>
      <c r="O12" s="10" t="n">
        <v>0</v>
      </c>
      <c r="P12" s="63" t="n">
        <v>0.2714</v>
      </c>
      <c r="Q12" s="10" t="inlineStr">
        <is>
          <t>동의</t>
        </is>
      </c>
      <c r="R12" s="10" t="inlineStr">
        <is>
          <t>홈택스</t>
        </is>
      </c>
    </row>
    <row r="13">
      <c r="A13" s="91" t="n"/>
      <c r="B13" s="3" t="inlineStr">
        <is>
          <t>연금</t>
        </is>
      </c>
      <c r="C13" s="3" t="n"/>
      <c r="D13" s="3" t="n"/>
      <c r="E13" s="93" t="n"/>
      <c r="F13" s="3" t="n"/>
      <c r="G13" s="3" t="n"/>
      <c r="H13" s="3">
        <f>IF(#REF!="해당","세무사보고","Pass")</f>
        <v/>
      </c>
      <c r="J13" s="97" t="n">
        <v>30000000</v>
      </c>
      <c r="K13" s="63" t="n">
        <v>0.2614</v>
      </c>
      <c r="L13" s="10" t="inlineStr">
        <is>
          <t>동의</t>
        </is>
      </c>
      <c r="M13" s="10" t="inlineStr">
        <is>
          <t>홈택스</t>
        </is>
      </c>
      <c r="O13" s="97" t="n">
        <v>30000000</v>
      </c>
      <c r="P13" s="63" t="n">
        <v>0.3148</v>
      </c>
      <c r="Q13" s="10" t="inlineStr">
        <is>
          <t>동의</t>
        </is>
      </c>
      <c r="R13" s="10" t="inlineStr">
        <is>
          <t>홈택스</t>
        </is>
      </c>
    </row>
    <row r="14">
      <c r="A14" s="91" t="n"/>
      <c r="B14" s="3" t="inlineStr">
        <is>
          <t>기타</t>
        </is>
      </c>
      <c r="C14" s="3" t="n"/>
      <c r="D14" s="3" t="n"/>
      <c r="E14" s="108" t="inlineStr">
        <is>
          <t xml:space="preserve"> </t>
        </is>
      </c>
      <c r="F14" s="3" t="n"/>
      <c r="G14" s="3" t="n"/>
      <c r="H14" s="3">
        <f>IF(D14="해당","세무사보고","Pass")</f>
        <v/>
      </c>
      <c r="J14" s="109" t="n">
        <v>35000000</v>
      </c>
      <c r="K14" s="63" t="n">
        <v>0.2857</v>
      </c>
      <c r="L14" s="10" t="n"/>
      <c r="M14" s="10" t="n"/>
      <c r="O14" s="97" t="n">
        <v>50000000</v>
      </c>
      <c r="P14" s="63" t="n">
        <v>0.3484</v>
      </c>
      <c r="Q14" s="10" t="inlineStr">
        <is>
          <t>동의</t>
        </is>
      </c>
      <c r="R14" s="10" t="inlineStr">
        <is>
          <t>홈택스</t>
        </is>
      </c>
    </row>
    <row r="15">
      <c r="A15" s="91" t="n"/>
      <c r="B15" s="3" t="inlineStr">
        <is>
          <t>금융</t>
        </is>
      </c>
      <c r="C15" s="3" t="n"/>
      <c r="D15" s="3" t="n"/>
      <c r="E15" s="93" t="n"/>
      <c r="F15" s="3" t="n"/>
      <c r="G15" s="3" t="n"/>
      <c r="H15" s="3">
        <f>IF(D15="해당","세무사보고","Pass")</f>
        <v/>
      </c>
      <c r="J15" s="109" t="n">
        <v>40000000</v>
      </c>
      <c r="K15" s="63" t="n">
        <v>0.3048</v>
      </c>
      <c r="L15" s="10" t="n"/>
      <c r="M15" s="10" t="n"/>
      <c r="O15" s="97" t="n">
        <v>65000000</v>
      </c>
      <c r="P15" s="63" t="n">
        <v>0.3814</v>
      </c>
    </row>
    <row r="16">
      <c r="A16" s="92" t="n"/>
      <c r="B16" s="3" t="inlineStr">
        <is>
          <t>주택임대</t>
        </is>
      </c>
      <c r="C16" s="3" t="n"/>
      <c r="D16" s="3" t="n"/>
      <c r="E16" s="93" t="n"/>
      <c r="F16" s="3" t="n"/>
      <c r="G16" s="3" t="n"/>
      <c r="H16" s="3">
        <f>IF(D16="해당","세무사보고","Pass")</f>
        <v/>
      </c>
      <c r="J16" s="97" t="n">
        <v>50000000</v>
      </c>
      <c r="K16" s="63" t="n">
        <v>0.3247</v>
      </c>
      <c r="L16" s="10" t="inlineStr">
        <is>
          <t>동의</t>
        </is>
      </c>
      <c r="M16" s="10" t="inlineStr">
        <is>
          <t>홈택스</t>
        </is>
      </c>
      <c r="O16" s="97" t="n">
        <v>75000000</v>
      </c>
      <c r="P16" s="63" t="n">
        <v>0.4457</v>
      </c>
    </row>
    <row r="17">
      <c r="A17" s="5" t="inlineStr">
        <is>
          <t>합계액</t>
        </is>
      </c>
      <c r="B17" s="5" t="n"/>
      <c r="C17" s="5" t="n"/>
      <c r="D17" s="5" t="n"/>
      <c r="E17" s="98">
        <f>SUM(E10:E16)</f>
        <v/>
      </c>
      <c r="F17" s="5" t="n"/>
      <c r="G17" s="5" t="n"/>
      <c r="H17" s="3" t="n"/>
      <c r="J17" s="97" t="n">
        <v>60000000</v>
      </c>
      <c r="K17" s="63" t="n">
        <v>0.3319</v>
      </c>
      <c r="L17" s="10" t="n"/>
      <c r="M17" s="10" t="n"/>
      <c r="O17" s="97" t="n"/>
      <c r="P17" s="63" t="n"/>
    </row>
    <row r="18">
      <c r="A18" s="7" t="inlineStr">
        <is>
          <t>수입금액(사업자)</t>
        </is>
      </c>
      <c r="B18" s="110" t="n"/>
      <c r="C18" s="98">
        <f>E10</f>
        <v/>
      </c>
      <c r="D18" s="8" t="inlineStr">
        <is>
          <t>수입금액(프리)</t>
        </is>
      </c>
      <c r="E18" s="110" t="n"/>
      <c r="F18" s="98">
        <f>E11</f>
        <v/>
      </c>
      <c r="G18" s="98">
        <f>C18+F18</f>
        <v/>
      </c>
      <c r="H18" s="3" t="n"/>
      <c r="J18" s="97" t="n">
        <v>65000000</v>
      </c>
      <c r="K18" s="63" t="n">
        <v>0.3814</v>
      </c>
      <c r="L18" s="10" t="n"/>
      <c r="M18" s="10" t="n"/>
      <c r="O18" s="97" t="n">
        <v>100000000</v>
      </c>
      <c r="P18" s="63" t="n">
        <v>0.5069</v>
      </c>
    </row>
    <row r="19">
      <c r="A19" s="1" t="inlineStr">
        <is>
          <t>제출자료경비</t>
        </is>
      </c>
      <c r="B19" s="3" t="n"/>
      <c r="C19" s="98">
        <f>C20+C21</f>
        <v/>
      </c>
      <c r="D19" s="1" t="inlineStr">
        <is>
          <t>필요경비</t>
        </is>
      </c>
      <c r="E19" s="3" t="n"/>
      <c r="F19" s="98">
        <f>F20+F21</f>
        <v/>
      </c>
      <c r="G19" s="98">
        <f>C19+F19</f>
        <v/>
      </c>
      <c r="H19" s="3" t="n"/>
      <c r="J19" s="97" t="n">
        <v>75000000</v>
      </c>
      <c r="K19" s="63" t="n">
        <v>0.4251</v>
      </c>
      <c r="L19" s="10" t="n"/>
      <c r="M19" s="10" t="n"/>
      <c r="O19" s="97" t="n">
        <v>150000000</v>
      </c>
      <c r="P19" s="63" t="n">
        <v>0.5476</v>
      </c>
    </row>
    <row r="20">
      <c r="A20" s="3" t="n"/>
      <c r="B20" s="1" t="inlineStr">
        <is>
          <t>신용카드</t>
        </is>
      </c>
      <c r="C20" s="99" t="n"/>
      <c r="D20" s="3" t="n"/>
      <c r="E20" s="1" t="inlineStr">
        <is>
          <t>신용카드</t>
        </is>
      </c>
      <c r="F20" s="99" t="n"/>
      <c r="G20" s="93" t="n"/>
      <c r="H20" s="3" t="n"/>
      <c r="J20" s="97" t="n">
        <v>100000000</v>
      </c>
      <c r="K20" s="63" t="n">
        <v>0.4889</v>
      </c>
      <c r="L20" s="10" t="n"/>
      <c r="M20" s="10" t="n"/>
      <c r="O20" s="97" t="n">
        <v>200000000</v>
      </c>
      <c r="P20" s="63" t="n">
        <v>0.5836</v>
      </c>
    </row>
    <row r="21">
      <c r="A21" s="3" t="n"/>
      <c r="B21" s="1" t="inlineStr">
        <is>
          <t>기타비용</t>
        </is>
      </c>
      <c r="C21" s="99" t="n"/>
      <c r="D21" s="3" t="n"/>
      <c r="E21" s="1" t="inlineStr">
        <is>
          <t>기타비용</t>
        </is>
      </c>
      <c r="F21" s="99" t="n"/>
      <c r="G21" s="93" t="n"/>
      <c r="H21" s="3" t="n"/>
      <c r="J21" s="97" t="n">
        <v>150000000</v>
      </c>
      <c r="K21" s="63" t="n">
        <v>0.5476</v>
      </c>
      <c r="L21" s="10" t="n"/>
      <c r="M21" s="10" t="n"/>
    </row>
    <row r="22">
      <c r="A22" s="3" t="inlineStr">
        <is>
          <t>실질INCOME</t>
        </is>
      </c>
      <c r="B22" s="3" t="n"/>
      <c r="C22" s="98">
        <f>C18-C19</f>
        <v/>
      </c>
      <c r="D22" s="3" t="n"/>
      <c r="E22" s="3" t="n"/>
      <c r="F22" s="98">
        <f>F18-F19</f>
        <v/>
      </c>
      <c r="G22" s="98">
        <f>C22+F22</f>
        <v/>
      </c>
      <c r="H22" s="3" t="n"/>
      <c r="J22" s="97" t="n">
        <v>200000000</v>
      </c>
      <c r="K22" s="63" t="n">
        <v>0.5836</v>
      </c>
      <c r="L22" s="10" t="n"/>
      <c r="M22" s="10" t="n"/>
    </row>
    <row r="23">
      <c r="A23" s="3" t="inlineStr">
        <is>
          <t>GAP</t>
        </is>
      </c>
      <c r="B23" s="3" t="n"/>
      <c r="C23" s="98">
        <f>C22-C24</f>
        <v/>
      </c>
      <c r="D23" s="3" t="n"/>
      <c r="E23" s="3" t="n"/>
      <c r="F23" s="98">
        <f>F22-F24</f>
        <v/>
      </c>
      <c r="G23" s="98" t="n"/>
      <c r="H23" s="3">
        <f>IF(G23&gt;50000000,"세무사보고","Pass")</f>
        <v/>
      </c>
      <c r="J23" s="97" t="n"/>
      <c r="K23" s="21" t="n"/>
      <c r="L23" s="10" t="n"/>
      <c r="M23" s="10" t="n"/>
    </row>
    <row r="24">
      <c r="A24" s="5" t="inlineStr">
        <is>
          <t>target소득금액</t>
        </is>
      </c>
      <c r="B24" s="5" t="n"/>
      <c r="C24" s="98">
        <f>C18*B28</f>
        <v/>
      </c>
      <c r="D24" s="5" t="inlineStr">
        <is>
          <t>소득율</t>
        </is>
      </c>
      <c r="E24" s="5" t="n"/>
      <c r="F24" s="98">
        <f>F18*E28</f>
        <v/>
      </c>
      <c r="G24" s="98">
        <f>C24+F24</f>
        <v/>
      </c>
      <c r="H24" s="3" t="n"/>
    </row>
    <row r="25">
      <c r="A25" s="3" t="inlineStr">
        <is>
          <t>업종단순율</t>
        </is>
      </c>
      <c r="B25" s="3">
        <f>VLOOKUP(F10,업종코드!$A$1:$I$1532,7,FALSE)</f>
        <v/>
      </c>
      <c r="C25" s="93" t="n"/>
      <c r="D25" s="3" t="n"/>
      <c r="E25" s="3">
        <f>VLOOKUP(F11,업종코드!$A$1:$I$1532,7,FALSE)</f>
        <v/>
      </c>
      <c r="F25" s="93" t="n"/>
      <c r="G25" s="93" t="n"/>
      <c r="H25" s="3" t="n"/>
    </row>
    <row r="26">
      <c r="A26" s="3" t="inlineStr">
        <is>
          <t>(1)업종소득율</t>
        </is>
      </c>
      <c r="B26" s="3">
        <f>1-B25*0.01</f>
        <v/>
      </c>
      <c r="C26" s="93" t="n"/>
      <c r="D26" s="3" t="n"/>
      <c r="E26" s="3">
        <f>1-E25*0.01</f>
        <v/>
      </c>
      <c r="F26" s="93" t="n"/>
      <c r="G26" s="93" t="n"/>
      <c r="H26" s="3" t="n"/>
    </row>
    <row r="27">
      <c r="A27" s="3" t="inlineStr">
        <is>
          <t>(2)수입구간별</t>
        </is>
      </c>
      <c r="B27" s="3">
        <f>VLOOKUP(E17,$J$11:$K$22,2,TRUE)</f>
        <v/>
      </c>
      <c r="C27" s="93" t="n"/>
      <c r="D27" s="3" t="n"/>
      <c r="E27" s="3">
        <f>VLOOKUP(E17,$J$11:$K$22,2,TRUE)</f>
        <v/>
      </c>
      <c r="F27" s="93" t="n"/>
      <c r="G27" s="93" t="n"/>
      <c r="H27" s="3" t="n"/>
    </row>
    <row r="28">
      <c r="A28" s="3" t="inlineStr">
        <is>
          <t>Min(1,2)</t>
        </is>
      </c>
      <c r="B28" s="3">
        <f>IF(E17&lt;150000000,MIN(B26,B27),MAX(B26,B27))</f>
        <v/>
      </c>
      <c r="C28" s="93" t="n"/>
      <c r="D28" s="3" t="n"/>
      <c r="E28" s="3">
        <f>IF(E17&lt;50000000,MIN(E26,E27),MAX(E26,E27))</f>
        <v/>
      </c>
      <c r="F28" s="93" t="n"/>
      <c r="G28" s="93" t="n"/>
      <c r="H28" s="3" t="n"/>
    </row>
    <row r="29">
      <c r="A29" s="5" t="inlineStr">
        <is>
          <t>사업자 필요경비</t>
        </is>
      </c>
      <c r="B29" s="5" t="n"/>
      <c r="C29" s="98">
        <f>C18-C24</f>
        <v/>
      </c>
      <c r="D29" s="5" t="inlineStr">
        <is>
          <t>프리랜서 필요경비</t>
        </is>
      </c>
      <c r="E29" s="5" t="n"/>
      <c r="F29" s="98">
        <f>F18-F24</f>
        <v/>
      </c>
      <c r="G29" s="98" t="n"/>
      <c r="H29" s="3" t="n"/>
    </row>
    <row r="30">
      <c r="A30" s="7" t="inlineStr">
        <is>
          <t>당기매입액</t>
        </is>
      </c>
      <c r="B30" s="3" t="n"/>
      <c r="C30" s="99" t="n"/>
      <c r="D30" s="3" t="inlineStr">
        <is>
          <t>급여</t>
        </is>
      </c>
      <c r="E30" s="3" t="n"/>
      <c r="F30" s="99" t="n"/>
      <c r="G30" s="99" t="n"/>
      <c r="H30" s="3" t="n"/>
    </row>
    <row r="31">
      <c r="A31" s="3" t="inlineStr">
        <is>
          <t>급여</t>
        </is>
      </c>
      <c r="B31" s="3" t="n"/>
      <c r="C31" s="99" t="n"/>
      <c r="D31" s="8" t="inlineStr">
        <is>
          <t>급여</t>
        </is>
      </c>
      <c r="E31" s="3" t="n"/>
      <c r="F31" s="93" t="n"/>
      <c r="G31" s="99" t="n"/>
      <c r="H31" s="3" t="n"/>
    </row>
    <row r="32">
      <c r="A32" s="7" t="inlineStr">
        <is>
          <t>제세공과금</t>
        </is>
      </c>
      <c r="B32" s="3" t="n"/>
      <c r="C32" s="99" t="n"/>
      <c r="D32" s="7" t="inlineStr">
        <is>
          <t>제세공과금</t>
        </is>
      </c>
      <c r="E32" s="3" t="n"/>
      <c r="F32" s="99" t="n"/>
      <c r="G32" s="99" t="n"/>
      <c r="H32" s="3" t="n"/>
    </row>
    <row r="33">
      <c r="A33" s="3" t="inlineStr">
        <is>
          <t>임차료</t>
        </is>
      </c>
      <c r="B33" s="3" t="n"/>
      <c r="C33" s="99" t="n"/>
      <c r="D33" s="8" t="inlineStr">
        <is>
          <t>임차료</t>
        </is>
      </c>
      <c r="E33" s="3" t="n"/>
      <c r="F33" s="93" t="n"/>
      <c r="G33" s="99" t="n"/>
      <c r="H33" s="3" t="n"/>
    </row>
    <row r="34">
      <c r="A34" s="3" t="inlineStr">
        <is>
          <t>지급이자</t>
        </is>
      </c>
      <c r="B34" s="3" t="n"/>
      <c r="C34" s="99" t="n"/>
      <c r="D34" s="3" t="inlineStr">
        <is>
          <t>지급이자</t>
        </is>
      </c>
      <c r="E34" s="3" t="n"/>
      <c r="F34" s="99" t="n"/>
      <c r="G34" s="99" t="n"/>
      <c r="H34" s="3" t="n"/>
    </row>
    <row r="35">
      <c r="A35" s="7" t="inlineStr">
        <is>
          <t>접대비</t>
        </is>
      </c>
      <c r="B35" s="3" t="n"/>
      <c r="C35" s="99" t="n"/>
      <c r="D35" s="7" t="inlineStr">
        <is>
          <t>접대비</t>
        </is>
      </c>
      <c r="E35" s="3" t="n"/>
      <c r="F35" s="103" t="n"/>
      <c r="G35" s="99" t="n"/>
      <c r="H35" s="58" t="n"/>
    </row>
    <row r="36">
      <c r="A36" s="3" t="inlineStr">
        <is>
          <t>기부금</t>
        </is>
      </c>
      <c r="B36" s="3" t="n"/>
      <c r="C36" s="99" t="n"/>
      <c r="D36" s="3" t="inlineStr">
        <is>
          <t>기부금</t>
        </is>
      </c>
      <c r="E36" s="3" t="n"/>
      <c r="F36" s="99" t="n"/>
      <c r="G36" s="99" t="n"/>
      <c r="H36" s="3" t="n"/>
    </row>
    <row r="37">
      <c r="A37" s="3" t="inlineStr">
        <is>
          <t>감가상각비</t>
        </is>
      </c>
      <c r="B37" s="3" t="n"/>
      <c r="C37" s="99" t="n"/>
      <c r="D37" s="8" t="inlineStr">
        <is>
          <t>감가상각비</t>
        </is>
      </c>
      <c r="E37" s="3" t="n"/>
      <c r="F37" s="93" t="n"/>
      <c r="G37" s="99" t="n"/>
      <c r="H37" s="58" t="n"/>
    </row>
    <row r="38">
      <c r="A38" s="8" t="inlineStr">
        <is>
          <t>차량유지비</t>
        </is>
      </c>
      <c r="B38" s="3" t="n"/>
      <c r="C38" s="99" t="n"/>
      <c r="D38" s="8" t="inlineStr">
        <is>
          <t>차량유지비</t>
        </is>
      </c>
      <c r="E38" s="3" t="n"/>
      <c r="F38" s="93" t="n"/>
      <c r="G38" s="99" t="n"/>
      <c r="H38" s="58" t="n"/>
    </row>
    <row r="39">
      <c r="A39" s="7" t="inlineStr">
        <is>
          <t>지급수수료</t>
        </is>
      </c>
      <c r="B39" s="3" t="n"/>
      <c r="C39" s="103" t="n"/>
      <c r="D39" s="7" t="inlineStr">
        <is>
          <t>지급수수료</t>
        </is>
      </c>
      <c r="E39" s="3" t="n"/>
      <c r="F39" s="103" t="n"/>
      <c r="G39" s="99" t="n"/>
      <c r="H39" s="3" t="n"/>
    </row>
    <row r="40">
      <c r="A40" s="7" t="inlineStr">
        <is>
          <t>소모품비</t>
        </is>
      </c>
      <c r="B40" s="3" t="n"/>
      <c r="C40" s="99" t="n"/>
      <c r="D40" s="7" t="inlineStr">
        <is>
          <t>소모품비</t>
        </is>
      </c>
      <c r="E40" s="3" t="n"/>
      <c r="F40" s="99" t="n"/>
      <c r="G40" s="99" t="n"/>
      <c r="H40" s="3" t="n"/>
    </row>
    <row r="41">
      <c r="A41" s="3" t="inlineStr">
        <is>
          <t>복리후생비</t>
        </is>
      </c>
      <c r="B41" s="3" t="n"/>
      <c r="C41" s="99" t="n"/>
      <c r="D41" s="8" t="inlineStr">
        <is>
          <t>복리후생비</t>
        </is>
      </c>
      <c r="E41" s="3" t="n"/>
      <c r="F41" s="93" t="n"/>
      <c r="G41" s="99" t="n"/>
      <c r="H41" s="3" t="n"/>
    </row>
    <row r="42">
      <c r="A42" s="3" t="inlineStr">
        <is>
          <t>운반비</t>
        </is>
      </c>
      <c r="B42" s="3" t="n"/>
      <c r="C42" s="99" t="n"/>
      <c r="D42" s="7" t="inlineStr">
        <is>
          <t>운반비</t>
        </is>
      </c>
      <c r="E42" s="3" t="n"/>
      <c r="F42" s="99" t="n"/>
      <c r="G42" s="99" t="n"/>
      <c r="H42" s="3" t="n"/>
    </row>
    <row r="43">
      <c r="A43" s="7" t="inlineStr">
        <is>
          <t>광고선전비</t>
        </is>
      </c>
      <c r="B43" s="3" t="n"/>
      <c r="C43" s="99" t="n"/>
      <c r="D43" s="7" t="inlineStr">
        <is>
          <t>광고선전비</t>
        </is>
      </c>
      <c r="E43" s="3" t="n"/>
      <c r="F43" s="99" t="n"/>
      <c r="G43" s="99" t="n"/>
      <c r="H43" s="3" t="n"/>
    </row>
    <row r="44">
      <c r="A44" s="7" t="inlineStr">
        <is>
          <t>여비교통비</t>
        </is>
      </c>
      <c r="B44" s="3" t="n"/>
      <c r="C44" s="99" t="n"/>
      <c r="D44" s="7" t="inlineStr">
        <is>
          <t>여비교통비</t>
        </is>
      </c>
      <c r="E44" s="3" t="n"/>
      <c r="F44" s="99" t="n"/>
      <c r="G44" s="99" t="n"/>
      <c r="H44" s="3" t="n"/>
    </row>
    <row r="45">
      <c r="A45" s="7" t="inlineStr">
        <is>
          <t>기타</t>
        </is>
      </c>
      <c r="B45" s="3" t="n"/>
      <c r="C45" s="99" t="n"/>
      <c r="D45" s="7" t="inlineStr">
        <is>
          <t>기타</t>
        </is>
      </c>
      <c r="E45" s="3" t="n"/>
      <c r="F45" s="103" t="n"/>
      <c r="G45" s="99" t="n"/>
      <c r="H45" s="3" t="n"/>
    </row>
    <row r="46">
      <c r="A46" s="5" t="inlineStr">
        <is>
          <t>합계</t>
        </is>
      </c>
      <c r="B46" s="5" t="n"/>
      <c r="C46" s="98">
        <f>SUM(C30:C45)</f>
        <v/>
      </c>
      <c r="D46" s="5" t="inlineStr">
        <is>
          <t>합계</t>
        </is>
      </c>
      <c r="E46" s="5" t="n"/>
      <c r="F46" s="98">
        <f>SUM(F30:F45)</f>
        <v/>
      </c>
      <c r="G46" s="98" t="n"/>
      <c r="H46" s="3" t="n"/>
    </row>
    <row r="47">
      <c r="A47" s="51" t="inlineStr">
        <is>
          <t>경비부족액</t>
        </is>
      </c>
      <c r="B47" s="51" t="n"/>
      <c r="C47" s="111">
        <f>C29-C46</f>
        <v/>
      </c>
      <c r="D47" s="51" t="inlineStr">
        <is>
          <t>잔액</t>
        </is>
      </c>
      <c r="E47" s="51" t="n"/>
      <c r="F47" s="111">
        <f>F29-F46</f>
        <v/>
      </c>
      <c r="G47" s="106" t="n"/>
      <c r="H47" s="3" t="n"/>
    </row>
    <row r="48">
      <c r="A48" s="3" t="inlineStr">
        <is>
          <t>소득금액</t>
        </is>
      </c>
      <c r="B48" s="3" t="n"/>
      <c r="C48" s="107">
        <f>C24+F24</f>
        <v/>
      </c>
      <c r="D48" s="3" t="n"/>
      <c r="E48" s="3" t="n"/>
      <c r="F48" s="3" t="n"/>
      <c r="G48" s="3" t="n"/>
      <c r="H48" s="3" t="n"/>
    </row>
    <row r="49">
      <c r="A49" s="3" t="inlineStr">
        <is>
          <t>소득공제</t>
        </is>
      </c>
      <c r="B49" s="3" t="n"/>
      <c r="C49" s="3" t="n"/>
      <c r="D49" s="3" t="n"/>
      <c r="E49" s="3" t="n"/>
      <c r="F49" s="3" t="n"/>
      <c r="G49" s="3" t="n"/>
      <c r="H49" s="3" t="n"/>
    </row>
    <row r="50">
      <c r="A50" s="3" t="n"/>
      <c r="B50" s="10" t="inlineStr">
        <is>
          <t>본인</t>
        </is>
      </c>
      <c r="C50" s="3" t="n"/>
      <c r="D50" s="3" t="n"/>
      <c r="E50" s="3" t="n"/>
      <c r="F50" s="3" t="n"/>
      <c r="G50" s="3" t="n"/>
      <c r="H50" s="3" t="n"/>
    </row>
    <row r="51">
      <c r="A51" s="3" t="n"/>
      <c r="B51" s="10" t="inlineStr">
        <is>
          <t>배우자</t>
        </is>
      </c>
      <c r="C51" s="3" t="n"/>
      <c r="D51" s="3" t="n"/>
      <c r="E51" s="3" t="n"/>
      <c r="F51" s="3" t="n"/>
      <c r="G51" s="3" t="n"/>
      <c r="H51" s="3" t="n"/>
    </row>
    <row r="52">
      <c r="A52" s="3" t="n"/>
      <c r="B52" s="10" t="inlineStr">
        <is>
          <t>자녀</t>
        </is>
      </c>
      <c r="C52" s="3" t="n"/>
      <c r="D52" s="3" t="n"/>
      <c r="E52" s="3" t="n"/>
      <c r="F52" s="3" t="n"/>
      <c r="G52" s="3" t="n"/>
      <c r="H52" s="3" t="n"/>
    </row>
    <row r="53">
      <c r="A53" s="3" t="n"/>
      <c r="B53" s="10" t="inlineStr">
        <is>
          <t>부모님</t>
        </is>
      </c>
      <c r="C53" s="3" t="n"/>
      <c r="D53" s="3" t="n"/>
      <c r="E53" s="3" t="n"/>
      <c r="F53" s="3" t="n"/>
      <c r="G53" s="3" t="n"/>
      <c r="H53" s="3" t="n"/>
    </row>
    <row r="54">
      <c r="A54" s="3" t="n"/>
      <c r="B54" s="10" t="inlineStr">
        <is>
          <t>형제자매</t>
        </is>
      </c>
      <c r="C54" s="3" t="n"/>
      <c r="D54" s="3" t="n"/>
      <c r="E54" s="3" t="n"/>
      <c r="F54" s="3" t="n"/>
      <c r="G54" s="3" t="n"/>
      <c r="H54" s="3" t="n"/>
    </row>
    <row r="55">
      <c r="A55" s="3" t="n"/>
      <c r="B55" s="10" t="inlineStr">
        <is>
          <t>경로우대자</t>
        </is>
      </c>
      <c r="C55" s="3" t="n"/>
      <c r="D55" s="3" t="n"/>
      <c r="E55" s="3" t="n"/>
      <c r="F55" s="3" t="n"/>
      <c r="G55" s="3" t="n"/>
      <c r="H55" s="3" t="n"/>
    </row>
    <row r="56">
      <c r="A56" s="3" t="n"/>
      <c r="B56" s="10" t="inlineStr">
        <is>
          <t>장애인</t>
        </is>
      </c>
      <c r="C56" s="3" t="n"/>
      <c r="D56" s="3" t="n"/>
      <c r="E56" s="3" t="n"/>
      <c r="F56" s="3" t="n"/>
      <c r="G56" s="3" t="n"/>
      <c r="H56" s="3" t="n"/>
    </row>
    <row r="57">
      <c r="A57" s="3" t="n"/>
      <c r="B57" s="10" t="inlineStr">
        <is>
          <t>부녀자</t>
        </is>
      </c>
      <c r="C57" s="3" t="n"/>
      <c r="D57" s="3" t="n"/>
      <c r="E57" s="3" t="n"/>
      <c r="F57" s="3" t="n"/>
      <c r="G57" s="3" t="n"/>
      <c r="H57" s="3" t="n"/>
    </row>
    <row r="58">
      <c r="A58" s="3" t="n"/>
      <c r="B58" s="10" t="inlineStr">
        <is>
          <t>한부모가정</t>
        </is>
      </c>
      <c r="C58" s="3" t="n"/>
      <c r="D58" s="3" t="n"/>
      <c r="E58" s="3" t="n"/>
      <c r="F58" s="3" t="n"/>
      <c r="G58" s="3" t="n"/>
      <c r="H58" s="3" t="n"/>
    </row>
    <row r="59" customFormat="1" s="2">
      <c r="A59" s="3" t="n"/>
      <c r="B59" s="10" t="inlineStr">
        <is>
          <t>기타소득공제</t>
        </is>
      </c>
      <c r="C59" s="3" t="n"/>
      <c r="D59" s="3" t="n"/>
      <c r="E59" s="3" t="n"/>
      <c r="F59" s="3" t="n"/>
      <c r="G59" s="3" t="n"/>
      <c r="H59" s="3" t="n"/>
      <c r="I59" s="0" t="n"/>
      <c r="J59" s="0" t="n"/>
      <c r="K59" s="0" t="n"/>
      <c r="L59" s="0" t="n"/>
      <c r="M59" s="0" t="n"/>
      <c r="N59" s="0" t="n"/>
    </row>
    <row r="60" customFormat="1" s="2">
      <c r="A60" s="3" t="inlineStr">
        <is>
          <t>세액공제</t>
        </is>
      </c>
      <c r="B60" s="3" t="n"/>
      <c r="C60" s="3" t="n"/>
      <c r="D60" s="3" t="n"/>
      <c r="E60" s="3" t="n"/>
      <c r="F60" s="3" t="n"/>
      <c r="G60" s="3" t="n"/>
      <c r="H60" s="3" t="n"/>
      <c r="I60" s="0" t="n"/>
      <c r="J60" s="0" t="n"/>
      <c r="K60" s="0" t="n"/>
      <c r="L60" s="0" t="n"/>
      <c r="M60" s="0" t="n"/>
      <c r="N60" s="0" t="n"/>
    </row>
    <row r="61" customFormat="1" s="2">
      <c r="A61" s="3" t="n"/>
      <c r="B61" s="3" t="inlineStr">
        <is>
          <t>퇴직연금세액공제</t>
        </is>
      </c>
      <c r="C61" s="3" t="n"/>
      <c r="D61" s="3" t="n"/>
      <c r="E61" s="3" t="n"/>
      <c r="F61" s="3" t="n"/>
      <c r="G61" s="3" t="n"/>
      <c r="H61" s="3" t="n"/>
      <c r="I61" s="0" t="n"/>
      <c r="J61" s="0" t="n"/>
      <c r="K61" s="0" t="n"/>
      <c r="L61" s="0" t="n"/>
      <c r="M61" s="0" t="n"/>
      <c r="N61" s="0" t="n"/>
    </row>
    <row r="62" customFormat="1" s="2">
      <c r="A62" s="3" t="n"/>
      <c r="B62" s="3" t="inlineStr">
        <is>
          <t>연금계좌세액공제</t>
        </is>
      </c>
      <c r="C62" s="3" t="n"/>
      <c r="D62" s="3" t="n"/>
      <c r="E62" s="3" t="n"/>
      <c r="F62" s="3" t="n"/>
      <c r="G62" s="3" t="n"/>
      <c r="H62" s="3" t="n"/>
      <c r="I62" s="0" t="n"/>
      <c r="J62" s="0" t="n"/>
      <c r="K62" s="0" t="n"/>
      <c r="L62" s="0" t="n"/>
      <c r="M62" s="0" t="n"/>
      <c r="N62" s="0" t="n"/>
    </row>
    <row r="63">
      <c r="A63" s="3" t="n"/>
      <c r="B63" s="3" t="n"/>
      <c r="C63" s="3" t="n"/>
      <c r="D63" s="3" t="n"/>
      <c r="E63" s="3" t="n"/>
      <c r="F63" s="3" t="n"/>
      <c r="G63" s="3" t="n"/>
    </row>
    <row r="64">
      <c r="A64" s="3" t="n"/>
      <c r="B64" s="3" t="n"/>
      <c r="C64" s="3" t="n"/>
      <c r="D64" s="3" t="n"/>
      <c r="E64" s="3" t="n"/>
      <c r="F64" s="3" t="n"/>
      <c r="G64" s="3" t="n"/>
    </row>
  </sheetData>
  <mergeCells count="4">
    <mergeCell ref="A18:B18"/>
    <mergeCell ref="A10:A16"/>
    <mergeCell ref="A3:A9"/>
    <mergeCell ref="D18:E18"/>
  </mergeCells>
  <conditionalFormatting sqref="D3:D11 D13:D17">
    <cfRule type="containsText" priority="4" operator="containsText" dxfId="0" text="해당">
      <formula>NOT(ISERROR(SEARCH("해당",D3)))</formula>
    </cfRule>
  </conditionalFormatting>
  <conditionalFormatting sqref="H3:H29 H31:H45">
    <cfRule type="containsText" priority="3" operator="containsText" dxfId="0" text="세무사보고">
      <formula>NOT(ISERROR(SEARCH("세무사보고",H3)))</formula>
    </cfRule>
  </conditionalFormatting>
  <conditionalFormatting sqref="H30">
    <cfRule type="containsText" priority="2" operator="containsText" dxfId="0" text="세무사보고">
      <formula>NOT(ISERROR(SEARCH("세무사보고",H30)))</formula>
    </cfRule>
  </conditionalFormatting>
  <conditionalFormatting sqref="D12">
    <cfRule type="containsText" priority="1" operator="containsText" dxfId="0" text="해당">
      <formula>NOT(ISERROR(SEARCH("해당",D12)))</formula>
    </cfRule>
  </conditionalFormatting>
  <pageMargins left="0" right="0" top="0" bottom="0" header="0" footer="0"/>
  <pageSetup orientation="portrait" paperSize="9" scale="68"/>
</worksheet>
</file>

<file path=xl/worksheets/sheet6.xml><?xml version="1.0" encoding="utf-8"?>
<worksheet xmlns="http://schemas.openxmlformats.org/spreadsheetml/2006/main">
  <sheetPr>
    <tabColor theme="7"/>
    <outlinePr summaryBelow="1" summaryRight="1"/>
    <pageSetUpPr fitToPage="1"/>
  </sheetPr>
  <dimension ref="A1:T64"/>
  <sheetViews>
    <sheetView workbookViewId="0">
      <selection activeCell="S10" sqref="S10"/>
    </sheetView>
  </sheetViews>
  <sheetFormatPr baseColWidth="8" defaultRowHeight="16.5"/>
  <cols>
    <col width="16.875" customWidth="1" style="2" min="1" max="1"/>
    <col width="14.75" customWidth="1" style="2" min="2" max="3"/>
    <col width="16.875" customWidth="1" style="2" min="4" max="4"/>
    <col width="15.375" customWidth="1" style="2" min="5" max="7"/>
    <col width="15.75" customWidth="1" style="2" min="8" max="8"/>
    <col hidden="1" width="9" customWidth="1" style="66" min="9" max="9"/>
    <col hidden="1" width="12.75" customWidth="1" style="66" min="10" max="10"/>
    <col hidden="1" width="12.25" customWidth="1" style="66" min="11" max="11"/>
    <col hidden="1" width="10.625" customWidth="1" style="66" min="12" max="12"/>
    <col hidden="1" width="9" customWidth="1" style="66" min="13" max="14"/>
    <col width="11.875" bestFit="1" customWidth="1" style="66" min="17" max="17"/>
    <col width="9.875" bestFit="1" customWidth="1" style="66" min="18" max="18"/>
  </cols>
  <sheetData>
    <row r="1">
      <c r="B1" s="16" t="inlineStr">
        <is>
          <t>노랑셀만입력</t>
        </is>
      </c>
      <c r="F1" s="17" t="inlineStr">
        <is>
          <t>검정셀은수식</t>
        </is>
      </c>
      <c r="G1" s="36" t="n"/>
      <c r="H1" s="37" t="inlineStr">
        <is>
          <t>입력하지마시오</t>
        </is>
      </c>
    </row>
    <row r="2">
      <c r="A2" s="1" t="inlineStr">
        <is>
          <t>확인사항</t>
        </is>
      </c>
      <c r="B2" s="12" t="n"/>
      <c r="C2" s="1" t="inlineStr">
        <is>
          <t>기장의무</t>
        </is>
      </c>
      <c r="D2" s="1" t="inlineStr">
        <is>
          <t>유형체크</t>
        </is>
      </c>
      <c r="E2" s="1" t="inlineStr">
        <is>
          <t>금액</t>
        </is>
      </c>
      <c r="F2" s="29" t="inlineStr">
        <is>
          <t>업종코드</t>
        </is>
      </c>
      <c r="G2" s="38" t="inlineStr">
        <is>
          <t>합계</t>
        </is>
      </c>
      <c r="H2" s="39" t="inlineStr">
        <is>
          <t>체크!!!</t>
        </is>
      </c>
    </row>
    <row r="3">
      <c r="A3" s="3" t="inlineStr">
        <is>
          <t>장부유형확인</t>
        </is>
      </c>
      <c r="B3" s="3" t="n"/>
      <c r="C3" s="3" t="inlineStr">
        <is>
          <t>복식부기의무자</t>
        </is>
      </c>
      <c r="D3" s="3" t="n"/>
      <c r="E3" s="3" t="n"/>
      <c r="F3" s="30" t="n"/>
      <c r="G3" s="40" t="n"/>
      <c r="H3" s="41">
        <f>IF(D3="해당","세무사보고","Pass")</f>
        <v/>
      </c>
    </row>
    <row r="4">
      <c r="A4" s="91" t="n"/>
      <c r="B4" s="3" t="n"/>
      <c r="C4" s="3" t="inlineStr">
        <is>
          <t>복식i(사전성실)</t>
        </is>
      </c>
      <c r="D4" s="3" t="n"/>
      <c r="E4" s="3" t="n"/>
      <c r="F4" s="30" t="n"/>
      <c r="G4" s="40" t="n"/>
      <c r="H4" s="41">
        <f>IF(D4="해당","세무사보고","Pass")</f>
        <v/>
      </c>
    </row>
    <row r="5">
      <c r="A5" s="91" t="n"/>
      <c r="B5" s="3" t="inlineStr">
        <is>
          <t>6000이상</t>
        </is>
      </c>
      <c r="C5" s="3" t="inlineStr">
        <is>
          <t>간장복식</t>
        </is>
      </c>
      <c r="D5" s="3" t="inlineStr">
        <is>
          <t>N/A</t>
        </is>
      </c>
      <c r="E5" s="3" t="n"/>
      <c r="F5" s="30" t="n"/>
      <c r="G5" s="40" t="n"/>
      <c r="H5" s="41">
        <f>IF(D5="해당","세무사보고","Pass")</f>
        <v/>
      </c>
    </row>
    <row r="6">
      <c r="A6" s="91" t="n"/>
      <c r="B6" s="3" t="n"/>
      <c r="C6" s="3" t="inlineStr">
        <is>
          <t>간편장부대상자</t>
        </is>
      </c>
      <c r="D6" s="3" t="inlineStr">
        <is>
          <t>해당</t>
        </is>
      </c>
      <c r="E6" s="3" t="n"/>
      <c r="F6" s="30" t="n"/>
      <c r="G6" s="40" t="n"/>
      <c r="H6" s="41">
        <f>IF(D6="해당","세무사보고","Pass")</f>
        <v/>
      </c>
    </row>
    <row r="7">
      <c r="A7" s="91" t="n"/>
      <c r="B7" s="3" t="n"/>
      <c r="C7" s="3" t="inlineStr">
        <is>
          <t>간편i(사전성실)</t>
        </is>
      </c>
      <c r="D7" s="3" t="inlineStr">
        <is>
          <t>N/A</t>
        </is>
      </c>
      <c r="E7" s="3" t="n"/>
      <c r="F7" s="30" t="n"/>
      <c r="G7" s="40" t="n"/>
      <c r="H7" s="41">
        <f>IF(D7="해당","세무사보고","Pass")</f>
        <v/>
      </c>
    </row>
    <row r="8">
      <c r="A8" s="91" t="n"/>
      <c r="B8" s="3" t="n"/>
      <c r="C8" s="3" t="inlineStr">
        <is>
          <t>E유형</t>
        </is>
      </c>
      <c r="D8" s="3" t="n"/>
      <c r="E8" s="3" t="n"/>
      <c r="F8" s="30" t="n"/>
      <c r="G8" s="40" t="n"/>
      <c r="H8" s="41">
        <f>IF(D8="해당","세무사보고","Pass")</f>
        <v/>
      </c>
    </row>
    <row r="9">
      <c r="A9" s="92" t="n"/>
      <c r="B9" s="3" t="n"/>
      <c r="C9" s="3" t="inlineStr">
        <is>
          <t>단순율(G등)</t>
        </is>
      </c>
      <c r="D9" s="3" t="n"/>
      <c r="E9" s="3" t="n"/>
      <c r="F9" s="30" t="n"/>
      <c r="G9" s="40" t="n"/>
      <c r="H9" s="41">
        <f>IF(D9="해당","세무사보고","Pass")</f>
        <v/>
      </c>
    </row>
    <row r="10">
      <c r="A10" s="3" t="inlineStr">
        <is>
          <t>소득종류확인</t>
        </is>
      </c>
      <c r="B10" s="3" t="inlineStr">
        <is>
          <t>사업</t>
        </is>
      </c>
      <c r="C10" s="7" t="inlineStr">
        <is>
          <t>사업자등록</t>
        </is>
      </c>
      <c r="D10" s="3" t="inlineStr">
        <is>
          <t>해당</t>
        </is>
      </c>
      <c r="E10" s="112" t="n"/>
      <c r="F10" s="31" t="n"/>
      <c r="G10" s="42">
        <f>VLOOKUP(F10,업종코드!$A$1:$I$1542,4,FALSE)</f>
        <v/>
      </c>
      <c r="H10" s="41">
        <f>IF(D10="해당","종류확인","Pass")</f>
        <v/>
      </c>
    </row>
    <row r="11">
      <c r="A11" s="91" t="n"/>
      <c r="B11" s="3" t="inlineStr">
        <is>
          <t>사업</t>
        </is>
      </c>
      <c r="C11" s="7" t="inlineStr">
        <is>
          <t>사업자등록</t>
        </is>
      </c>
      <c r="D11" s="3" t="inlineStr">
        <is>
          <t>해당</t>
        </is>
      </c>
      <c r="E11" s="112" t="n"/>
      <c r="F11" s="31" t="n"/>
      <c r="G11" s="42">
        <f>VLOOKUP(F11,업종코드!$A$1:$I$1532,4,FALSE)</f>
        <v/>
      </c>
      <c r="H11" s="41">
        <f>IF(D11="해당","종류확인","Pass")</f>
        <v/>
      </c>
      <c r="J11" s="18" t="inlineStr">
        <is>
          <t>수입금액</t>
        </is>
      </c>
      <c r="K11" s="18" t="inlineStr">
        <is>
          <t>적정소득율</t>
        </is>
      </c>
      <c r="L11" s="18" t="inlineStr">
        <is>
          <t>수임동의</t>
        </is>
      </c>
      <c r="M11" s="18" t="inlineStr">
        <is>
          <t>접수방법</t>
        </is>
      </c>
    </row>
    <row r="12">
      <c r="A12" s="91" t="n"/>
      <c r="B12" s="3" t="inlineStr">
        <is>
          <t>근로</t>
        </is>
      </c>
      <c r="C12" s="3" t="n"/>
      <c r="D12" s="3" t="n"/>
      <c r="E12" s="93" t="n"/>
      <c r="F12" s="30" t="n"/>
      <c r="G12" s="40" t="n"/>
      <c r="H12" s="41">
        <f>IF(D12="해당","세무사보고","Pass")</f>
        <v/>
      </c>
      <c r="J12" s="10" t="n">
        <v>0</v>
      </c>
      <c r="K12" s="63" t="n">
        <v>0.2514</v>
      </c>
      <c r="L12" s="10" t="inlineStr">
        <is>
          <t>동의</t>
        </is>
      </c>
      <c r="M12" s="10" t="inlineStr">
        <is>
          <t>홈택스</t>
        </is>
      </c>
    </row>
    <row r="13">
      <c r="A13" s="91" t="n"/>
      <c r="B13" s="3" t="inlineStr">
        <is>
          <t>연금</t>
        </is>
      </c>
      <c r="C13" s="3" t="n"/>
      <c r="D13" s="3" t="n"/>
      <c r="E13" s="93" t="n"/>
      <c r="F13" s="30" t="n"/>
      <c r="G13" s="40" t="n"/>
      <c r="H13" s="41">
        <f>IF(D13="해당","세무사보고","Pass")</f>
        <v/>
      </c>
      <c r="J13" s="97" t="n">
        <v>30000000</v>
      </c>
      <c r="K13" s="63" t="n">
        <v>0.2614</v>
      </c>
      <c r="L13" s="10" t="inlineStr">
        <is>
          <t>동의</t>
        </is>
      </c>
      <c r="M13" s="10" t="inlineStr">
        <is>
          <t>홈택스</t>
        </is>
      </c>
    </row>
    <row r="14">
      <c r="A14" s="91" t="n"/>
      <c r="B14" s="3" t="inlineStr">
        <is>
          <t>기타</t>
        </is>
      </c>
      <c r="C14" s="3" t="n"/>
      <c r="D14" s="3" t="n"/>
      <c r="E14" s="93" t="n"/>
      <c r="F14" s="30" t="n"/>
      <c r="G14" s="40" t="n"/>
      <c r="H14" s="41">
        <f>IF(D14="해당","세무사보고","Pass")</f>
        <v/>
      </c>
      <c r="J14" s="109" t="n">
        <v>35000000</v>
      </c>
      <c r="K14" s="63" t="n">
        <v>0.2857</v>
      </c>
      <c r="L14" s="10" t="n"/>
      <c r="M14" s="10" t="n"/>
    </row>
    <row r="15">
      <c r="A15" s="91" t="n"/>
      <c r="B15" s="3" t="inlineStr">
        <is>
          <t>금융</t>
        </is>
      </c>
      <c r="C15" s="3" t="n"/>
      <c r="D15" s="3" t="n"/>
      <c r="E15" s="93" t="n"/>
      <c r="F15" s="30" t="n"/>
      <c r="G15" s="40" t="n"/>
      <c r="H15" s="41">
        <f>IF(D15="해당","세무사보고","Pass")</f>
        <v/>
      </c>
      <c r="J15" s="109" t="n">
        <v>40000000</v>
      </c>
      <c r="K15" s="63" t="n">
        <v>0.3048</v>
      </c>
      <c r="L15" s="10" t="n"/>
      <c r="M15" s="10" t="n"/>
    </row>
    <row r="16">
      <c r="A16" s="92" t="n"/>
      <c r="B16" s="3" t="inlineStr">
        <is>
          <t>주택임대</t>
        </is>
      </c>
      <c r="C16" s="3" t="n"/>
      <c r="D16" s="3" t="n"/>
      <c r="E16" s="93" t="n"/>
      <c r="F16" s="30" t="n"/>
      <c r="G16" s="40" t="n"/>
      <c r="H16" s="41">
        <f>IF(D16="해당","세무사보고","Pass")</f>
        <v/>
      </c>
      <c r="J16" s="97" t="n">
        <v>50000000</v>
      </c>
      <c r="K16" s="63" t="n">
        <v>0.3247</v>
      </c>
      <c r="L16" s="10" t="inlineStr">
        <is>
          <t>동의</t>
        </is>
      </c>
      <c r="M16" s="10" t="inlineStr">
        <is>
          <t>홈택스</t>
        </is>
      </c>
    </row>
    <row r="17">
      <c r="A17" s="75" t="inlineStr">
        <is>
          <t>합계</t>
        </is>
      </c>
      <c r="B17" s="76" t="n"/>
      <c r="C17" s="5" t="n"/>
      <c r="D17" s="77" t="n"/>
      <c r="E17" s="113">
        <f>SUM(E10:E16)</f>
        <v/>
      </c>
      <c r="F17" s="77" t="n"/>
      <c r="G17" s="79" t="n"/>
      <c r="H17" s="41" t="n"/>
      <c r="J17" s="97" t="n"/>
      <c r="K17" s="63" t="n"/>
      <c r="L17" s="10" t="n"/>
      <c r="M17" s="10" t="n"/>
    </row>
    <row r="18">
      <c r="A18" s="7" t="inlineStr">
        <is>
          <t>수입금액(사업자)</t>
        </is>
      </c>
      <c r="B18" s="110" t="n"/>
      <c r="C18" s="98">
        <f>E10</f>
        <v/>
      </c>
      <c r="D18" s="7" t="inlineStr">
        <is>
          <t>수입금액(사업자)</t>
        </is>
      </c>
      <c r="E18" s="110" t="n"/>
      <c r="F18" s="114">
        <f>E11</f>
        <v/>
      </c>
      <c r="G18" s="115">
        <f>C18+F18</f>
        <v/>
      </c>
      <c r="H18" s="41" t="n"/>
      <c r="J18" s="97" t="n">
        <v>60000000</v>
      </c>
      <c r="K18" s="63" t="n">
        <v>0.3319</v>
      </c>
      <c r="L18" s="10" t="n"/>
      <c r="M18" s="10" t="n"/>
    </row>
    <row r="19">
      <c r="A19" s="1" t="inlineStr">
        <is>
          <t>제출자료경비</t>
        </is>
      </c>
      <c r="B19" s="3" t="n"/>
      <c r="C19" s="98">
        <f>C20+C21</f>
        <v/>
      </c>
      <c r="D19" s="1" t="inlineStr">
        <is>
          <t>필요경비</t>
        </is>
      </c>
      <c r="E19" s="3" t="n"/>
      <c r="F19" s="114">
        <f>F20+F21</f>
        <v/>
      </c>
      <c r="G19" s="115">
        <f>C19+F19</f>
        <v/>
      </c>
      <c r="H19" s="41" t="n"/>
      <c r="J19" s="97" t="n">
        <v>65000000</v>
      </c>
      <c r="K19" s="63" t="n">
        <v>0.3814</v>
      </c>
      <c r="L19" s="10" t="n"/>
      <c r="M19" s="10" t="n"/>
    </row>
    <row r="20">
      <c r="A20" s="3" t="n"/>
      <c r="B20" s="1" t="inlineStr">
        <is>
          <t>신용카드</t>
        </is>
      </c>
      <c r="C20" s="99" t="n"/>
      <c r="D20" s="3" t="n"/>
      <c r="E20" s="1" t="inlineStr">
        <is>
          <t>신용카드</t>
        </is>
      </c>
      <c r="F20" s="116" t="n"/>
      <c r="G20" s="117" t="n"/>
      <c r="H20" s="41" t="n"/>
      <c r="J20" s="97" t="n">
        <v>75000000</v>
      </c>
      <c r="K20" s="63" t="n">
        <v>0.4251</v>
      </c>
      <c r="L20" s="10" t="n"/>
      <c r="M20" s="10" t="n"/>
    </row>
    <row r="21">
      <c r="A21" s="3" t="n"/>
      <c r="B21" s="1" t="inlineStr">
        <is>
          <t>기타비용</t>
        </is>
      </c>
      <c r="C21" s="99" t="n"/>
      <c r="D21" s="3" t="n"/>
      <c r="E21" s="1" t="inlineStr">
        <is>
          <t>기타비용</t>
        </is>
      </c>
      <c r="F21" s="116" t="n"/>
      <c r="G21" s="117" t="n"/>
      <c r="H21" s="41" t="n"/>
      <c r="J21" s="97" t="n">
        <v>100000000</v>
      </c>
      <c r="K21" s="63" t="n">
        <v>0.4889</v>
      </c>
      <c r="L21" s="10" t="n"/>
      <c r="M21" s="10" t="n"/>
    </row>
    <row r="22">
      <c r="A22" s="3" t="inlineStr">
        <is>
          <t>실질INCOME</t>
        </is>
      </c>
      <c r="B22" s="3" t="n"/>
      <c r="C22" s="98">
        <f>C18-C19</f>
        <v/>
      </c>
      <c r="D22" s="3" t="n"/>
      <c r="E22" s="3" t="n"/>
      <c r="F22" s="114">
        <f>F18-F19</f>
        <v/>
      </c>
      <c r="G22" s="115">
        <f>C22+F22</f>
        <v/>
      </c>
      <c r="H22" s="41" t="n"/>
      <c r="J22" s="97" t="n">
        <v>150000000</v>
      </c>
      <c r="K22" s="63" t="n">
        <v>0.5476</v>
      </c>
      <c r="L22" s="10" t="n"/>
      <c r="M22" s="10" t="n"/>
    </row>
    <row r="23">
      <c r="A23" s="3" t="inlineStr">
        <is>
          <t>GAP</t>
        </is>
      </c>
      <c r="B23" s="3" t="n"/>
      <c r="C23" s="98">
        <f>C22-C24</f>
        <v/>
      </c>
      <c r="D23" s="3" t="n"/>
      <c r="E23" s="3" t="n"/>
      <c r="F23" s="114">
        <f>F22-F24</f>
        <v/>
      </c>
      <c r="G23" s="115" t="n"/>
      <c r="H23" s="41">
        <f>IF(G23&gt;50000000,"세무사보고","Pass")</f>
        <v/>
      </c>
      <c r="J23" s="97" t="n">
        <v>200000000</v>
      </c>
      <c r="K23" s="63" t="n">
        <v>0.5836</v>
      </c>
      <c r="L23" s="10" t="n"/>
      <c r="M23" s="10" t="n"/>
    </row>
    <row r="24">
      <c r="A24" s="5" t="inlineStr">
        <is>
          <t>target소득금액</t>
        </is>
      </c>
      <c r="B24" s="5" t="n"/>
      <c r="C24" s="98">
        <f>C18*B28</f>
        <v/>
      </c>
      <c r="D24" s="5" t="inlineStr">
        <is>
          <t>소득율</t>
        </is>
      </c>
      <c r="E24" s="5" t="n"/>
      <c r="F24" s="114">
        <f>F18*E28</f>
        <v/>
      </c>
      <c r="G24" s="115">
        <f>C24+F24</f>
        <v/>
      </c>
      <c r="H24" s="41" t="n"/>
      <c r="J24" s="97" t="n"/>
      <c r="K24" s="21" t="n"/>
      <c r="L24" s="10" t="n"/>
      <c r="M24" s="10" t="n"/>
    </row>
    <row r="25">
      <c r="A25" s="3" t="inlineStr">
        <is>
          <t>업종단순율</t>
        </is>
      </c>
      <c r="B25" s="3">
        <f>VLOOKUP(F10,업종코드!$A$1:$I$1532,7,FALSE)</f>
        <v/>
      </c>
      <c r="C25" s="93" t="n"/>
      <c r="D25" s="3" t="n"/>
      <c r="E25" s="3">
        <f>VLOOKUP(F11,업종코드!$A$1:$I$1532,7,FALSE)</f>
        <v/>
      </c>
      <c r="F25" s="118" t="n"/>
      <c r="G25" s="117" t="n"/>
      <c r="H25" s="41" t="n"/>
    </row>
    <row r="26">
      <c r="A26" s="3" t="inlineStr">
        <is>
          <t>(1)업종소득율</t>
        </is>
      </c>
      <c r="B26" s="3">
        <f>1-B25*0.01</f>
        <v/>
      </c>
      <c r="C26" s="93" t="n"/>
      <c r="D26" s="3" t="n"/>
      <c r="E26" s="3">
        <f>1-E25*0.01</f>
        <v/>
      </c>
      <c r="F26" s="118" t="n"/>
      <c r="G26" s="117" t="n"/>
      <c r="H26" s="41" t="n"/>
    </row>
    <row r="27">
      <c r="A27" s="3" t="inlineStr">
        <is>
          <t>(2)수입구간별</t>
        </is>
      </c>
      <c r="B27" s="3">
        <f>VLOOKUP(E10,$J$11:$K$23,2,TRUE)</f>
        <v/>
      </c>
      <c r="C27" s="93" t="n"/>
      <c r="D27" s="3" t="n"/>
      <c r="E27" s="3">
        <f>VLOOKUP(E11,$J$11:$K$23,2,TRUE)</f>
        <v/>
      </c>
      <c r="F27" s="118" t="n"/>
      <c r="G27" s="117" t="n"/>
      <c r="H27" s="41" t="n"/>
    </row>
    <row r="28">
      <c r="A28" s="7" t="inlineStr">
        <is>
          <t>Min(1,2)</t>
        </is>
      </c>
      <c r="B28" s="7">
        <f>IF(E17&lt;150000000,MIN(B26,B27),MAX(B26,B27))</f>
        <v/>
      </c>
      <c r="C28" s="93" t="n"/>
      <c r="D28" s="3" t="n"/>
      <c r="E28" s="3">
        <f>IF(E17&lt;150000000,MIN(E26,E27),MAX(E26,E27))</f>
        <v/>
      </c>
      <c r="F28" s="118" t="n"/>
      <c r="G28" s="117" t="n"/>
      <c r="H28" s="41" t="n"/>
    </row>
    <row r="29">
      <c r="A29" s="5" t="inlineStr">
        <is>
          <t>필요경비</t>
        </is>
      </c>
      <c r="B29" s="5" t="n"/>
      <c r="C29" s="98">
        <f>C18-C24</f>
        <v/>
      </c>
      <c r="D29" s="5" t="inlineStr">
        <is>
          <t>필요경비</t>
        </is>
      </c>
      <c r="E29" s="5" t="n"/>
      <c r="F29" s="114">
        <f>F18-F24</f>
        <v/>
      </c>
      <c r="G29" s="115" t="n"/>
      <c r="H29" s="41" t="n"/>
    </row>
    <row r="30">
      <c r="A30" s="7" t="inlineStr">
        <is>
          <t>당기매입액</t>
        </is>
      </c>
      <c r="B30" s="3" t="n"/>
      <c r="C30" s="99" t="n"/>
      <c r="D30" s="3" t="inlineStr">
        <is>
          <t>급여</t>
        </is>
      </c>
      <c r="E30" s="3" t="n"/>
      <c r="F30" s="116" t="n"/>
      <c r="G30" s="119" t="n"/>
      <c r="H30" s="41" t="n"/>
    </row>
    <row r="31">
      <c r="A31" s="3" t="inlineStr">
        <is>
          <t>급여</t>
        </is>
      </c>
      <c r="B31" s="3" t="n"/>
      <c r="C31" s="99" t="n"/>
      <c r="D31" s="3" t="inlineStr">
        <is>
          <t>급여</t>
        </is>
      </c>
      <c r="E31" s="3" t="n"/>
      <c r="F31" s="116" t="n"/>
      <c r="G31" s="119" t="n"/>
      <c r="H31" s="41" t="n"/>
    </row>
    <row r="32">
      <c r="A32" s="7" t="inlineStr">
        <is>
          <t>제세공과금</t>
        </is>
      </c>
      <c r="B32" s="3" t="n"/>
      <c r="C32" s="99" t="n"/>
      <c r="D32" s="7" t="inlineStr">
        <is>
          <t>제세공과금</t>
        </is>
      </c>
      <c r="E32" s="3" t="n"/>
      <c r="F32" s="116" t="n"/>
      <c r="G32" s="119" t="n"/>
      <c r="H32" s="41" t="n"/>
    </row>
    <row r="33">
      <c r="A33" s="3" t="inlineStr">
        <is>
          <t>임차료</t>
        </is>
      </c>
      <c r="B33" s="3" t="n"/>
      <c r="C33" s="99" t="n"/>
      <c r="D33" s="3" t="inlineStr">
        <is>
          <t>임차료</t>
        </is>
      </c>
      <c r="E33" s="3" t="n"/>
      <c r="F33" s="116" t="n"/>
      <c r="G33" s="119" t="n"/>
      <c r="H33" s="41" t="n"/>
    </row>
    <row r="34">
      <c r="A34" s="3" t="inlineStr">
        <is>
          <t>지급이자</t>
        </is>
      </c>
      <c r="B34" s="3" t="n"/>
      <c r="C34" s="99" t="n"/>
      <c r="D34" s="3" t="inlineStr">
        <is>
          <t>지급이자</t>
        </is>
      </c>
      <c r="E34" s="3" t="n"/>
      <c r="F34" s="116" t="n"/>
      <c r="G34" s="119" t="n"/>
      <c r="H34" s="41" t="n"/>
    </row>
    <row r="35">
      <c r="A35" s="7" t="inlineStr">
        <is>
          <t>접대비</t>
        </is>
      </c>
      <c r="B35" s="3" t="n"/>
      <c r="C35" s="99" t="n"/>
      <c r="D35" s="7" t="inlineStr">
        <is>
          <t>접대비</t>
        </is>
      </c>
      <c r="E35" s="3" t="n"/>
      <c r="F35" s="116" t="n"/>
      <c r="G35" s="119" t="n"/>
      <c r="H35" s="50" t="n"/>
    </row>
    <row r="36">
      <c r="A36" s="3" t="inlineStr">
        <is>
          <t>기부금</t>
        </is>
      </c>
      <c r="B36" s="3" t="n"/>
      <c r="C36" s="99" t="n"/>
      <c r="D36" s="3" t="inlineStr">
        <is>
          <t>기부금</t>
        </is>
      </c>
      <c r="E36" s="3" t="n"/>
      <c r="F36" s="116" t="n"/>
      <c r="G36" s="119" t="n"/>
      <c r="H36" s="41" t="n"/>
    </row>
    <row r="37">
      <c r="A37" s="3" t="inlineStr">
        <is>
          <t>감가상각비</t>
        </is>
      </c>
      <c r="B37" s="3" t="n"/>
      <c r="C37" s="99" t="n"/>
      <c r="D37" s="3" t="inlineStr">
        <is>
          <t>감가상각비</t>
        </is>
      </c>
      <c r="E37" s="3" t="n"/>
      <c r="F37" s="116" t="n"/>
      <c r="G37" s="119" t="n"/>
      <c r="H37" s="41">
        <f>IF(G37&gt;0,"차량확인","Pass")</f>
        <v/>
      </c>
    </row>
    <row r="38">
      <c r="A38" s="8" t="inlineStr">
        <is>
          <t>차량유지비</t>
        </is>
      </c>
      <c r="B38" s="3" t="n"/>
      <c r="C38" s="99" t="n"/>
      <c r="D38" s="8" t="inlineStr">
        <is>
          <t>차량유지비</t>
        </is>
      </c>
      <c r="E38" s="3" t="n"/>
      <c r="F38" s="116" t="n"/>
      <c r="G38" s="119" t="n"/>
      <c r="H38" s="41">
        <f>IF(G38&gt;0,"차량확인","Pass")</f>
        <v/>
      </c>
    </row>
    <row r="39">
      <c r="A39" s="7" t="inlineStr">
        <is>
          <t>지급수수료</t>
        </is>
      </c>
      <c r="B39" s="3" t="n"/>
      <c r="C39" s="103" t="n"/>
      <c r="D39" s="7" t="inlineStr">
        <is>
          <t>지급수수료</t>
        </is>
      </c>
      <c r="E39" s="3" t="n"/>
      <c r="F39" s="116" t="n"/>
      <c r="G39" s="119" t="n"/>
      <c r="H39" s="41" t="n"/>
    </row>
    <row r="40">
      <c r="A40" s="7" t="inlineStr">
        <is>
          <t>소모품비</t>
        </is>
      </c>
      <c r="B40" s="3" t="n"/>
      <c r="C40" s="99" t="n"/>
      <c r="D40" s="7" t="inlineStr">
        <is>
          <t>소모품비</t>
        </is>
      </c>
      <c r="E40" s="3" t="n"/>
      <c r="F40" s="116" t="n"/>
      <c r="G40" s="119" t="n"/>
      <c r="H40" s="41" t="n"/>
    </row>
    <row r="41">
      <c r="A41" s="3" t="inlineStr">
        <is>
          <t>복리후생비</t>
        </is>
      </c>
      <c r="B41" s="3" t="n"/>
      <c r="C41" s="99" t="n"/>
      <c r="D41" s="3" t="inlineStr">
        <is>
          <t>복리후생비</t>
        </is>
      </c>
      <c r="E41" s="3" t="n"/>
      <c r="F41" s="116" t="n"/>
      <c r="G41" s="119" t="n"/>
      <c r="H41" s="41" t="n"/>
    </row>
    <row r="42">
      <c r="A42" s="3" t="inlineStr">
        <is>
          <t>운반비</t>
        </is>
      </c>
      <c r="B42" s="3" t="n"/>
      <c r="C42" s="99" t="n"/>
      <c r="D42" s="7" t="inlineStr">
        <is>
          <t>운반비</t>
        </is>
      </c>
      <c r="E42" s="3" t="n"/>
      <c r="F42" s="116" t="n"/>
      <c r="G42" s="119" t="n"/>
      <c r="H42" s="41" t="n"/>
    </row>
    <row r="43">
      <c r="A43" s="7" t="inlineStr">
        <is>
          <t>광고선전비</t>
        </is>
      </c>
      <c r="B43" s="3" t="n"/>
      <c r="C43" s="99" t="n"/>
      <c r="D43" s="7" t="inlineStr">
        <is>
          <t>광고선전비</t>
        </is>
      </c>
      <c r="E43" s="3" t="n"/>
      <c r="F43" s="116" t="n"/>
      <c r="G43" s="119" t="n"/>
      <c r="H43" s="41" t="n"/>
      <c r="P43" s="2" t="n"/>
      <c r="Q43" s="2" t="n"/>
      <c r="R43" s="2" t="n"/>
      <c r="S43" s="2" t="n"/>
      <c r="T43" s="2" t="n"/>
    </row>
    <row r="44">
      <c r="A44" s="7" t="inlineStr">
        <is>
          <t>여비교통비</t>
        </is>
      </c>
      <c r="B44" s="3" t="n"/>
      <c r="C44" s="99" t="n"/>
      <c r="D44" s="7" t="inlineStr">
        <is>
          <t>여비교통비</t>
        </is>
      </c>
      <c r="E44" s="3" t="n"/>
      <c r="F44" s="116" t="n"/>
      <c r="G44" s="119" t="n"/>
      <c r="H44" s="41" t="n"/>
      <c r="P44" s="2" t="n"/>
      <c r="Q44" s="2" t="n"/>
      <c r="R44" s="2" t="n"/>
      <c r="S44" s="2" t="n"/>
      <c r="T44" s="2" t="n"/>
    </row>
    <row r="45">
      <c r="A45" s="7" t="inlineStr">
        <is>
          <t>기타</t>
        </is>
      </c>
      <c r="B45" s="3" t="n"/>
      <c r="C45" s="99" t="n"/>
      <c r="D45" s="7" t="inlineStr">
        <is>
          <t>기타</t>
        </is>
      </c>
      <c r="E45" s="3" t="n"/>
      <c r="F45" s="120" t="n"/>
      <c r="G45" s="119" t="n"/>
      <c r="H45" s="41" t="n"/>
      <c r="P45" s="2" t="n"/>
      <c r="Q45" s="2" t="n"/>
      <c r="R45" s="2" t="n"/>
      <c r="S45" s="2" t="n"/>
      <c r="T45" s="2" t="n"/>
    </row>
    <row r="46">
      <c r="A46" s="5" t="inlineStr">
        <is>
          <t>합계</t>
        </is>
      </c>
      <c r="B46" s="5" t="n"/>
      <c r="C46" s="98">
        <f>SUM(C30:C45)</f>
        <v/>
      </c>
      <c r="D46" s="5" t="inlineStr">
        <is>
          <t>합계</t>
        </is>
      </c>
      <c r="E46" s="5" t="n"/>
      <c r="F46" s="114">
        <f>SUM(F30:F45)</f>
        <v/>
      </c>
      <c r="G46" s="115" t="n"/>
      <c r="H46" s="41" t="n"/>
      <c r="P46" s="2" t="n"/>
      <c r="Q46" s="2" t="n"/>
      <c r="R46" s="2" t="n"/>
      <c r="S46" s="2" t="n"/>
      <c r="T46" s="2" t="n"/>
    </row>
    <row r="47">
      <c r="A47" s="51" t="inlineStr">
        <is>
          <t>경비부족액</t>
        </is>
      </c>
      <c r="B47" s="51" t="n"/>
      <c r="C47" s="111">
        <f>C29-C46</f>
        <v/>
      </c>
      <c r="D47" s="51" t="inlineStr">
        <is>
          <t>잔액</t>
        </is>
      </c>
      <c r="E47" s="51" t="n"/>
      <c r="F47" s="121">
        <f>F29-F46</f>
        <v/>
      </c>
      <c r="G47" s="122" t="n"/>
      <c r="H47" s="41" t="n"/>
    </row>
    <row r="48">
      <c r="A48" s="3" t="inlineStr">
        <is>
          <t>소득금액</t>
        </is>
      </c>
      <c r="B48" s="3" t="n"/>
      <c r="C48" s="107">
        <f>C24+F24</f>
        <v/>
      </c>
      <c r="D48" s="3" t="n"/>
      <c r="E48" s="3" t="n"/>
      <c r="F48" s="30" t="n"/>
      <c r="G48" s="40" t="n"/>
      <c r="H48" s="41" t="n"/>
    </row>
    <row r="49">
      <c r="A49" s="3" t="inlineStr">
        <is>
          <t>소득공제</t>
        </is>
      </c>
      <c r="B49" s="3" t="n"/>
      <c r="C49" s="3" t="n"/>
      <c r="D49" s="3" t="n"/>
      <c r="E49" s="3" t="n"/>
      <c r="F49" s="30" t="n"/>
      <c r="G49" s="40" t="n"/>
      <c r="H49" s="41" t="n"/>
    </row>
    <row r="50">
      <c r="A50" s="3" t="n"/>
      <c r="B50" s="10" t="inlineStr">
        <is>
          <t>본인</t>
        </is>
      </c>
      <c r="C50" s="3" t="n">
        <v>0</v>
      </c>
      <c r="D50" s="3" t="n"/>
      <c r="E50" s="3" t="n"/>
      <c r="F50" s="30" t="n"/>
      <c r="G50" s="40" t="n"/>
      <c r="H50" s="41" t="n"/>
    </row>
    <row r="51">
      <c r="A51" s="3" t="n"/>
      <c r="B51" s="10" t="inlineStr">
        <is>
          <t>배우자</t>
        </is>
      </c>
      <c r="C51" s="3" t="inlineStr">
        <is>
          <t xml:space="preserve"> </t>
        </is>
      </c>
      <c r="D51" s="3" t="n"/>
      <c r="E51" s="3" t="n"/>
      <c r="F51" s="30" t="n"/>
      <c r="G51" s="40" t="n"/>
      <c r="H51" s="41" t="n"/>
    </row>
    <row r="52">
      <c r="A52" s="3" t="n"/>
      <c r="B52" s="10" t="inlineStr">
        <is>
          <t>자녀</t>
        </is>
      </c>
      <c r="C52" s="3" t="n"/>
      <c r="D52" s="3" t="n"/>
      <c r="E52" s="3" t="n"/>
      <c r="F52" s="30" t="n"/>
      <c r="G52" s="40" t="n"/>
      <c r="H52" s="41" t="n"/>
    </row>
    <row r="53">
      <c r="A53" s="3" t="n"/>
      <c r="B53" s="10" t="inlineStr">
        <is>
          <t>부모님</t>
        </is>
      </c>
      <c r="C53" s="3" t="n"/>
      <c r="D53" s="3" t="n"/>
      <c r="E53" s="3" t="n"/>
      <c r="F53" s="30" t="n"/>
      <c r="G53" s="40" t="n"/>
      <c r="H53" s="41" t="n"/>
    </row>
    <row r="54">
      <c r="A54" s="3" t="n"/>
      <c r="B54" s="10" t="inlineStr">
        <is>
          <t>형제자매</t>
        </is>
      </c>
      <c r="C54" s="3" t="n"/>
      <c r="D54" s="3" t="n"/>
      <c r="E54" s="3" t="n"/>
      <c r="F54" s="30" t="n"/>
      <c r="G54" s="40" t="n"/>
      <c r="H54" s="41" t="n"/>
    </row>
    <row r="55">
      <c r="A55" s="3" t="n"/>
      <c r="B55" s="10" t="inlineStr">
        <is>
          <t>경로우대자</t>
        </is>
      </c>
      <c r="C55" s="3" t="n"/>
      <c r="D55" s="3" t="n"/>
      <c r="E55" s="3" t="n"/>
      <c r="F55" s="30" t="n"/>
      <c r="G55" s="40" t="n"/>
      <c r="H55" s="41" t="n"/>
    </row>
    <row r="56">
      <c r="A56" s="3" t="n"/>
      <c r="B56" s="10" t="inlineStr">
        <is>
          <t>장애인</t>
        </is>
      </c>
      <c r="C56" s="3" t="n"/>
      <c r="D56" s="3" t="n"/>
      <c r="E56" s="3" t="n"/>
      <c r="F56" s="30" t="n"/>
      <c r="G56" s="40" t="n"/>
      <c r="H56" s="41" t="n"/>
    </row>
    <row r="57">
      <c r="A57" s="3" t="n"/>
      <c r="B57" s="10" t="inlineStr">
        <is>
          <t>부녀자</t>
        </is>
      </c>
      <c r="C57" s="3" t="n"/>
      <c r="D57" s="3" t="n"/>
      <c r="E57" s="3" t="n"/>
      <c r="F57" s="30" t="n"/>
      <c r="G57" s="40" t="n"/>
      <c r="H57" s="41" t="n"/>
    </row>
    <row r="58">
      <c r="A58" s="3" t="n"/>
      <c r="B58" s="10" t="inlineStr">
        <is>
          <t>한부모가정</t>
        </is>
      </c>
      <c r="C58" s="3" t="n"/>
      <c r="D58" s="3" t="n"/>
      <c r="E58" s="3" t="n"/>
      <c r="F58" s="30" t="n"/>
      <c r="G58" s="40" t="n"/>
      <c r="H58" s="41" t="n"/>
    </row>
    <row r="59" customFormat="1" s="2">
      <c r="A59" s="3" t="n"/>
      <c r="B59" s="10" t="inlineStr">
        <is>
          <t>기타소득공제</t>
        </is>
      </c>
      <c r="C59" s="3" t="n"/>
      <c r="D59" s="3" t="n"/>
      <c r="E59" s="3" t="n"/>
      <c r="F59" s="30" t="n"/>
      <c r="G59" s="40" t="n"/>
      <c r="H59" s="41" t="n"/>
      <c r="I59" s="0" t="n"/>
      <c r="J59" s="0" t="n"/>
      <c r="K59" s="0" t="n"/>
      <c r="L59" s="0" t="n"/>
      <c r="M59" s="0" t="n"/>
      <c r="N59" s="0" t="n"/>
      <c r="P59" s="0" t="n"/>
      <c r="Q59" s="0" t="n"/>
      <c r="R59" s="0" t="n"/>
      <c r="S59" s="0" t="n"/>
      <c r="T59" s="0" t="n"/>
    </row>
    <row r="60" customFormat="1" s="2">
      <c r="A60" s="3" t="inlineStr">
        <is>
          <t>세액공제</t>
        </is>
      </c>
      <c r="B60" s="3" t="n"/>
      <c r="C60" s="3" t="n"/>
      <c r="D60" s="3" t="n"/>
      <c r="E60" s="3" t="n"/>
      <c r="F60" s="30" t="n"/>
      <c r="G60" s="40" t="n"/>
      <c r="H60" s="41" t="n"/>
      <c r="I60" s="0" t="n"/>
      <c r="J60" s="0" t="n"/>
      <c r="K60" s="0" t="n"/>
      <c r="L60" s="0" t="n"/>
      <c r="M60" s="0" t="n"/>
      <c r="N60" s="0" t="n"/>
      <c r="P60" s="0" t="n"/>
      <c r="Q60" s="0" t="n"/>
      <c r="R60" s="0" t="n"/>
      <c r="S60" s="0" t="n"/>
      <c r="T60" s="0" t="n"/>
    </row>
    <row r="61" customFormat="1" s="2">
      <c r="A61" s="3" t="n"/>
      <c r="B61" s="3" t="inlineStr">
        <is>
          <t>퇴직연금세액공제</t>
        </is>
      </c>
      <c r="C61" s="3" t="n"/>
      <c r="D61" s="3" t="n"/>
      <c r="E61" s="3" t="n"/>
      <c r="F61" s="30" t="n"/>
      <c r="G61" s="40" t="n"/>
      <c r="H61" s="41" t="n"/>
      <c r="I61" s="0" t="n"/>
      <c r="J61" s="0" t="n"/>
      <c r="K61" s="0" t="n"/>
      <c r="L61" s="0" t="n"/>
      <c r="M61" s="0" t="n"/>
      <c r="N61" s="0" t="n"/>
      <c r="P61" s="0" t="n"/>
      <c r="Q61" s="0" t="n"/>
      <c r="R61" s="0" t="n"/>
      <c r="S61" s="0" t="n"/>
      <c r="T61" s="0" t="n"/>
    </row>
    <row r="62" customFormat="1" s="2">
      <c r="A62" s="3" t="n"/>
      <c r="B62" s="3" t="inlineStr">
        <is>
          <t>연금계좌세액공제</t>
        </is>
      </c>
      <c r="C62" s="3" t="n"/>
      <c r="D62" s="3" t="n"/>
      <c r="E62" s="3" t="n"/>
      <c r="F62" s="30" t="n"/>
      <c r="G62" s="40" t="n"/>
      <c r="H62" s="41" t="n"/>
      <c r="I62" s="0" t="n"/>
      <c r="J62" s="0" t="n"/>
      <c r="K62" s="0" t="n"/>
      <c r="L62" s="0" t="n"/>
      <c r="M62" s="0" t="n"/>
      <c r="N62" s="0" t="n"/>
      <c r="P62" s="0" t="n"/>
      <c r="Q62" s="0" t="n"/>
      <c r="R62" s="0" t="n"/>
      <c r="S62" s="0" t="n"/>
      <c r="T62" s="0" t="n"/>
    </row>
    <row r="63">
      <c r="A63" s="3" t="n"/>
      <c r="B63" s="3" t="n"/>
      <c r="C63" s="3" t="n"/>
      <c r="D63" s="3" t="n"/>
      <c r="E63" s="3" t="n"/>
      <c r="F63" s="30" t="n"/>
      <c r="G63" s="40" t="n"/>
      <c r="H63" s="47" t="n"/>
    </row>
    <row r="64" ht="17.25" customHeight="1" s="66" thickBot="1">
      <c r="A64" s="3" t="n"/>
      <c r="B64" s="3" t="n"/>
      <c r="C64" s="3" t="n"/>
      <c r="D64" s="3" t="n"/>
      <c r="E64" s="3" t="n"/>
      <c r="F64" s="30" t="n"/>
      <c r="G64" s="48" t="n"/>
      <c r="H64" s="49" t="n"/>
    </row>
  </sheetData>
  <mergeCells count="4">
    <mergeCell ref="A18:B18"/>
    <mergeCell ref="A10:A16"/>
    <mergeCell ref="A3:A9"/>
    <mergeCell ref="D18:E18"/>
  </mergeCells>
  <conditionalFormatting sqref="D3:D17">
    <cfRule type="containsText" priority="3" operator="containsText" dxfId="0" text="해당">
      <formula>NOT(ISERROR(SEARCH("해당",D3)))</formula>
    </cfRule>
  </conditionalFormatting>
  <conditionalFormatting sqref="H3:H29 H31:H45">
    <cfRule type="containsText" priority="2" operator="containsText" dxfId="0" text="세무사보고">
      <formula>NOT(ISERROR(SEARCH("세무사보고",H3)))</formula>
    </cfRule>
  </conditionalFormatting>
  <conditionalFormatting sqref="H30">
    <cfRule type="containsText" priority="1" operator="containsText" dxfId="0" text="세무사보고">
      <formula>NOT(ISERROR(SEARCH("세무사보고",H30)))</formula>
    </cfRule>
  </conditionalFormatting>
  <pageMargins left="0.7" right="0.7" top="0.75" bottom="0.75" header="0.3" footer="0.3"/>
  <pageSetup orientation="portrait" paperSize="9" scale="64"/>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pc</dc:creator>
  <dcterms:created xmlns:dcterms="http://purl.org/dc/terms/" xmlns:xsi="http://www.w3.org/2001/XMLSchema-instance" xsi:type="dcterms:W3CDTF">2021-05-06T06:17:05Z</dcterms:created>
  <dcterms:modified xmlns:dcterms="http://purl.org/dc/terms/" xmlns:xsi="http://www.w3.org/2001/XMLSchema-instance" xsi:type="dcterms:W3CDTF">2025-06-02T06:54:45Z</dcterms:modified>
  <cp:lastModifiedBy>DC</cp:lastModifiedBy>
  <cp:lastPrinted>2025-06-02T06:49:29Z</cp:lastPrinted>
</cp:coreProperties>
</file>